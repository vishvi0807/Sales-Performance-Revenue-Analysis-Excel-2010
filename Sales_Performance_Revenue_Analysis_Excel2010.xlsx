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Dashboard" sheetId="1" r:id="rId1"/>
    <sheet name="README" sheetId="2" r:id="rId2"/>
    <sheet name="Orders_Clean" sheetId="3" r:id="rId3"/>
    <sheet name="Salesperson Analysis" sheetId="4" r:id="rId4"/>
    <sheet name="Customer Analysis" sheetId="5" r:id="rId5"/>
    <sheet name="State Analysis" sheetId="6" r:id="rId6"/>
    <sheet name="Category Analysis" sheetId="7" r:id="rId7"/>
    <sheet name="Monthly Analysis" sheetId="8" r:id="rId8"/>
    <sheet name="Delivery Analysis" sheetId="9" r:id="rId9"/>
    <sheet name="KPI Summary" sheetId="10" r:id="rId10"/>
    <sheet name="Practice Lab" sheetId="11" r:id="rId11"/>
    <sheet name="Portfolio Notes" sheetId="12" r:id="rId12"/>
    <sheet name="Data Dictionary" sheetId="13" r:id="rId13"/>
  </sheets>
  <definedNames>
    <definedName name="_xlnm._FilterDatabase" localSheetId="2" hidden="1">Orders_Clean!$A$4:$W$783</definedName>
  </definedNames>
  <calcPr calcId="144525" forceFullCalc="1"/>
</workbook>
</file>

<file path=xl/calcChain.xml><?xml version="1.0" encoding="utf-8"?>
<calcChain xmlns="http://schemas.openxmlformats.org/spreadsheetml/2006/main">
  <c r="B6" i="10" l="1"/>
  <c r="Q9" i="1" l="1"/>
  <c r="Q8" i="1"/>
  <c r="Q7" i="1" l="1"/>
  <c r="H42" i="1"/>
  <c r="H43" i="1"/>
  <c r="H44" i="1"/>
  <c r="H45" i="1"/>
  <c r="D6" i="6" l="1"/>
  <c r="D7" i="6"/>
  <c r="D5" i="6"/>
  <c r="C6" i="6"/>
  <c r="C7" i="6"/>
  <c r="C5" i="6"/>
  <c r="B6" i="6"/>
  <c r="B7" i="6"/>
  <c r="B5" i="6"/>
  <c r="E7" i="6" l="1"/>
  <c r="E6" i="6"/>
  <c r="E5" i="6"/>
  <c r="S6" i="3"/>
  <c r="T6" i="3" s="1"/>
  <c r="S7" i="3"/>
  <c r="T7" i="3" s="1"/>
  <c r="S8" i="3"/>
  <c r="T8" i="3" s="1"/>
  <c r="S9" i="3"/>
  <c r="T9" i="3" s="1"/>
  <c r="S10" i="3"/>
  <c r="T10" i="3" s="1"/>
  <c r="S11" i="3"/>
  <c r="T11" i="3" s="1"/>
  <c r="S12" i="3"/>
  <c r="T12" i="3" s="1"/>
  <c r="S13" i="3"/>
  <c r="T13" i="3" s="1"/>
  <c r="S14" i="3"/>
  <c r="T14" i="3" s="1"/>
  <c r="S15" i="3"/>
  <c r="T15" i="3" s="1"/>
  <c r="S16" i="3"/>
  <c r="T16" i="3" s="1"/>
  <c r="S17" i="3"/>
  <c r="T17" i="3" s="1"/>
  <c r="S18" i="3"/>
  <c r="T18" i="3" s="1"/>
  <c r="S19" i="3"/>
  <c r="T19" i="3" s="1"/>
  <c r="S20" i="3"/>
  <c r="T20" i="3" s="1"/>
  <c r="S21" i="3"/>
  <c r="T21" i="3" s="1"/>
  <c r="S22" i="3"/>
  <c r="T22" i="3" s="1"/>
  <c r="S23" i="3"/>
  <c r="T23" i="3" s="1"/>
  <c r="S24" i="3"/>
  <c r="T24" i="3" s="1"/>
  <c r="S25" i="3"/>
  <c r="T25" i="3" s="1"/>
  <c r="S26" i="3"/>
  <c r="T26" i="3" s="1"/>
  <c r="S27" i="3"/>
  <c r="T27" i="3" s="1"/>
  <c r="S28" i="3"/>
  <c r="T28" i="3" s="1"/>
  <c r="S29" i="3"/>
  <c r="T29" i="3" s="1"/>
  <c r="S30" i="3"/>
  <c r="T30" i="3" s="1"/>
  <c r="S31" i="3"/>
  <c r="T31" i="3" s="1"/>
  <c r="S32" i="3"/>
  <c r="T32" i="3" s="1"/>
  <c r="S33" i="3"/>
  <c r="T33" i="3" s="1"/>
  <c r="S34" i="3"/>
  <c r="T34" i="3" s="1"/>
  <c r="S35" i="3"/>
  <c r="T35" i="3" s="1"/>
  <c r="S36" i="3"/>
  <c r="T36" i="3" s="1"/>
  <c r="S37" i="3"/>
  <c r="T37" i="3" s="1"/>
  <c r="S38" i="3"/>
  <c r="T38" i="3" s="1"/>
  <c r="S39" i="3"/>
  <c r="T39" i="3" s="1"/>
  <c r="S40" i="3"/>
  <c r="T40" i="3" s="1"/>
  <c r="S41" i="3"/>
  <c r="T41" i="3" s="1"/>
  <c r="S42" i="3"/>
  <c r="T42" i="3" s="1"/>
  <c r="S43" i="3"/>
  <c r="T43" i="3" s="1"/>
  <c r="S44" i="3"/>
  <c r="T44" i="3" s="1"/>
  <c r="S45" i="3"/>
  <c r="T45" i="3" s="1"/>
  <c r="S46" i="3"/>
  <c r="T46" i="3" s="1"/>
  <c r="S47" i="3"/>
  <c r="T47" i="3" s="1"/>
  <c r="S48" i="3"/>
  <c r="T48" i="3" s="1"/>
  <c r="S49" i="3"/>
  <c r="T49" i="3" s="1"/>
  <c r="S50" i="3"/>
  <c r="T50" i="3" s="1"/>
  <c r="S51" i="3"/>
  <c r="T51" i="3" s="1"/>
  <c r="S52" i="3"/>
  <c r="T52" i="3" s="1"/>
  <c r="S53" i="3"/>
  <c r="T53" i="3" s="1"/>
  <c r="S54" i="3"/>
  <c r="T54" i="3" s="1"/>
  <c r="S55" i="3"/>
  <c r="T55" i="3" s="1"/>
  <c r="S56" i="3"/>
  <c r="T56" i="3" s="1"/>
  <c r="S57" i="3"/>
  <c r="T57" i="3" s="1"/>
  <c r="S58" i="3"/>
  <c r="T58" i="3" s="1"/>
  <c r="S59" i="3"/>
  <c r="T59" i="3" s="1"/>
  <c r="S60" i="3"/>
  <c r="T60" i="3" s="1"/>
  <c r="S61" i="3"/>
  <c r="T61" i="3" s="1"/>
  <c r="S62" i="3"/>
  <c r="T62" i="3" s="1"/>
  <c r="S63" i="3"/>
  <c r="T63" i="3" s="1"/>
  <c r="S64" i="3"/>
  <c r="T64" i="3" s="1"/>
  <c r="S65" i="3"/>
  <c r="T65" i="3" s="1"/>
  <c r="S66" i="3"/>
  <c r="T66" i="3" s="1"/>
  <c r="S67" i="3"/>
  <c r="T67" i="3" s="1"/>
  <c r="S68" i="3"/>
  <c r="T68" i="3" s="1"/>
  <c r="S69" i="3"/>
  <c r="T69" i="3" s="1"/>
  <c r="S70" i="3"/>
  <c r="T70" i="3" s="1"/>
  <c r="S71" i="3"/>
  <c r="T71" i="3" s="1"/>
  <c r="S72" i="3"/>
  <c r="T72" i="3" s="1"/>
  <c r="S73" i="3"/>
  <c r="T73" i="3" s="1"/>
  <c r="S74" i="3"/>
  <c r="T74" i="3" s="1"/>
  <c r="S75" i="3"/>
  <c r="T75" i="3" s="1"/>
  <c r="S76" i="3"/>
  <c r="T76" i="3" s="1"/>
  <c r="S77" i="3"/>
  <c r="T77" i="3" s="1"/>
  <c r="S78" i="3"/>
  <c r="T78" i="3" s="1"/>
  <c r="S79" i="3"/>
  <c r="T79" i="3" s="1"/>
  <c r="S80" i="3"/>
  <c r="T80" i="3" s="1"/>
  <c r="S81" i="3"/>
  <c r="T81" i="3" s="1"/>
  <c r="S82" i="3"/>
  <c r="T82" i="3" s="1"/>
  <c r="S83" i="3"/>
  <c r="T83" i="3" s="1"/>
  <c r="S84" i="3"/>
  <c r="T84" i="3" s="1"/>
  <c r="S85" i="3"/>
  <c r="T85" i="3" s="1"/>
  <c r="S86" i="3"/>
  <c r="T86" i="3" s="1"/>
  <c r="S87" i="3"/>
  <c r="T87" i="3" s="1"/>
  <c r="S88" i="3"/>
  <c r="T88" i="3" s="1"/>
  <c r="S89" i="3"/>
  <c r="T89" i="3" s="1"/>
  <c r="S90" i="3"/>
  <c r="T90" i="3" s="1"/>
  <c r="S91" i="3"/>
  <c r="T91" i="3" s="1"/>
  <c r="S92" i="3"/>
  <c r="T92" i="3" s="1"/>
  <c r="S93" i="3"/>
  <c r="T93" i="3" s="1"/>
  <c r="S94" i="3"/>
  <c r="T94" i="3" s="1"/>
  <c r="S95" i="3"/>
  <c r="T95" i="3" s="1"/>
  <c r="S96" i="3"/>
  <c r="T96" i="3" s="1"/>
  <c r="S97" i="3"/>
  <c r="T97" i="3" s="1"/>
  <c r="S98" i="3"/>
  <c r="T98" i="3" s="1"/>
  <c r="S99" i="3"/>
  <c r="T99" i="3" s="1"/>
  <c r="S100" i="3"/>
  <c r="T100" i="3" s="1"/>
  <c r="S101" i="3"/>
  <c r="T101" i="3" s="1"/>
  <c r="S102" i="3"/>
  <c r="T102" i="3" s="1"/>
  <c r="S103" i="3"/>
  <c r="T103" i="3" s="1"/>
  <c r="S104" i="3"/>
  <c r="T104" i="3" s="1"/>
  <c r="S105" i="3"/>
  <c r="T105" i="3" s="1"/>
  <c r="S106" i="3"/>
  <c r="T106" i="3" s="1"/>
  <c r="S107" i="3"/>
  <c r="T107" i="3" s="1"/>
  <c r="S108" i="3"/>
  <c r="T108" i="3" s="1"/>
  <c r="S109" i="3"/>
  <c r="T109" i="3" s="1"/>
  <c r="S110" i="3"/>
  <c r="T110" i="3" s="1"/>
  <c r="S111" i="3"/>
  <c r="T111" i="3" s="1"/>
  <c r="S112" i="3"/>
  <c r="T112" i="3" s="1"/>
  <c r="S113" i="3"/>
  <c r="T113" i="3" s="1"/>
  <c r="S114" i="3"/>
  <c r="T114" i="3" s="1"/>
  <c r="S115" i="3"/>
  <c r="T115" i="3" s="1"/>
  <c r="S116" i="3"/>
  <c r="T116" i="3" s="1"/>
  <c r="S117" i="3"/>
  <c r="T117" i="3" s="1"/>
  <c r="S118" i="3"/>
  <c r="T118" i="3" s="1"/>
  <c r="S119" i="3"/>
  <c r="T119" i="3" s="1"/>
  <c r="S120" i="3"/>
  <c r="T120" i="3" s="1"/>
  <c r="S121" i="3"/>
  <c r="T121" i="3" s="1"/>
  <c r="S122" i="3"/>
  <c r="T122" i="3" s="1"/>
  <c r="S123" i="3"/>
  <c r="T123" i="3" s="1"/>
  <c r="S124" i="3"/>
  <c r="T124" i="3" s="1"/>
  <c r="S125" i="3"/>
  <c r="T125" i="3" s="1"/>
  <c r="S126" i="3"/>
  <c r="T126" i="3" s="1"/>
  <c r="S127" i="3"/>
  <c r="T127" i="3" s="1"/>
  <c r="S128" i="3"/>
  <c r="T128" i="3" s="1"/>
  <c r="S129" i="3"/>
  <c r="T129" i="3" s="1"/>
  <c r="S130" i="3"/>
  <c r="T130" i="3" s="1"/>
  <c r="S131" i="3"/>
  <c r="T131" i="3" s="1"/>
  <c r="S132" i="3"/>
  <c r="T132" i="3" s="1"/>
  <c r="S133" i="3"/>
  <c r="T133" i="3" s="1"/>
  <c r="S134" i="3"/>
  <c r="T134" i="3" s="1"/>
  <c r="S135" i="3"/>
  <c r="T135" i="3" s="1"/>
  <c r="S136" i="3"/>
  <c r="T136" i="3" s="1"/>
  <c r="S137" i="3"/>
  <c r="T137" i="3" s="1"/>
  <c r="S138" i="3"/>
  <c r="T138" i="3" s="1"/>
  <c r="S139" i="3"/>
  <c r="T139" i="3" s="1"/>
  <c r="S140" i="3"/>
  <c r="T140" i="3" s="1"/>
  <c r="S141" i="3"/>
  <c r="T141" i="3" s="1"/>
  <c r="S142" i="3"/>
  <c r="T142" i="3" s="1"/>
  <c r="S143" i="3"/>
  <c r="T143" i="3" s="1"/>
  <c r="S144" i="3"/>
  <c r="T144" i="3" s="1"/>
  <c r="S145" i="3"/>
  <c r="T145" i="3" s="1"/>
  <c r="S146" i="3"/>
  <c r="T146" i="3" s="1"/>
  <c r="S147" i="3"/>
  <c r="T147" i="3" s="1"/>
  <c r="S148" i="3"/>
  <c r="T148" i="3" s="1"/>
  <c r="S149" i="3"/>
  <c r="T149" i="3" s="1"/>
  <c r="S150" i="3"/>
  <c r="T150" i="3" s="1"/>
  <c r="S151" i="3"/>
  <c r="T151" i="3" s="1"/>
  <c r="S152" i="3"/>
  <c r="T152" i="3" s="1"/>
  <c r="S153" i="3"/>
  <c r="T153" i="3" s="1"/>
  <c r="S154" i="3"/>
  <c r="T154" i="3" s="1"/>
  <c r="S155" i="3"/>
  <c r="T155" i="3" s="1"/>
  <c r="S156" i="3"/>
  <c r="T156" i="3" s="1"/>
  <c r="S157" i="3"/>
  <c r="T157" i="3" s="1"/>
  <c r="S158" i="3"/>
  <c r="T158" i="3" s="1"/>
  <c r="S159" i="3"/>
  <c r="T159" i="3" s="1"/>
  <c r="S160" i="3"/>
  <c r="T160" i="3" s="1"/>
  <c r="S161" i="3"/>
  <c r="T161" i="3" s="1"/>
  <c r="S162" i="3"/>
  <c r="T162" i="3" s="1"/>
  <c r="S163" i="3"/>
  <c r="T163" i="3" s="1"/>
  <c r="S164" i="3"/>
  <c r="T164" i="3" s="1"/>
  <c r="S165" i="3"/>
  <c r="T165" i="3" s="1"/>
  <c r="S166" i="3"/>
  <c r="T166" i="3" s="1"/>
  <c r="S167" i="3"/>
  <c r="T167" i="3" s="1"/>
  <c r="S168" i="3"/>
  <c r="T168" i="3" s="1"/>
  <c r="S169" i="3"/>
  <c r="T169" i="3" s="1"/>
  <c r="S170" i="3"/>
  <c r="T170" i="3" s="1"/>
  <c r="S171" i="3"/>
  <c r="T171" i="3" s="1"/>
  <c r="S172" i="3"/>
  <c r="T172" i="3" s="1"/>
  <c r="S173" i="3"/>
  <c r="T173" i="3" s="1"/>
  <c r="S174" i="3"/>
  <c r="T174" i="3" s="1"/>
  <c r="S175" i="3"/>
  <c r="T175" i="3" s="1"/>
  <c r="S176" i="3"/>
  <c r="T176" i="3" s="1"/>
  <c r="S177" i="3"/>
  <c r="T177" i="3" s="1"/>
  <c r="S178" i="3"/>
  <c r="T178" i="3" s="1"/>
  <c r="S179" i="3"/>
  <c r="T179" i="3" s="1"/>
  <c r="S180" i="3"/>
  <c r="T180" i="3" s="1"/>
  <c r="S181" i="3"/>
  <c r="T181" i="3" s="1"/>
  <c r="S182" i="3"/>
  <c r="T182" i="3" s="1"/>
  <c r="S183" i="3"/>
  <c r="T183" i="3" s="1"/>
  <c r="S184" i="3"/>
  <c r="T184" i="3" s="1"/>
  <c r="S185" i="3"/>
  <c r="T185" i="3" s="1"/>
  <c r="S186" i="3"/>
  <c r="T186" i="3" s="1"/>
  <c r="S187" i="3"/>
  <c r="T187" i="3" s="1"/>
  <c r="S188" i="3"/>
  <c r="T188" i="3" s="1"/>
  <c r="S189" i="3"/>
  <c r="T189" i="3" s="1"/>
  <c r="S190" i="3"/>
  <c r="T190" i="3" s="1"/>
  <c r="S191" i="3"/>
  <c r="T191" i="3" s="1"/>
  <c r="S192" i="3"/>
  <c r="T192" i="3" s="1"/>
  <c r="S193" i="3"/>
  <c r="T193" i="3" s="1"/>
  <c r="S194" i="3"/>
  <c r="T194" i="3" s="1"/>
  <c r="S195" i="3"/>
  <c r="T195" i="3" s="1"/>
  <c r="S196" i="3"/>
  <c r="T196" i="3" s="1"/>
  <c r="S197" i="3"/>
  <c r="T197" i="3" s="1"/>
  <c r="S198" i="3"/>
  <c r="T198" i="3" s="1"/>
  <c r="S199" i="3"/>
  <c r="T199" i="3" s="1"/>
  <c r="S200" i="3"/>
  <c r="T200" i="3" s="1"/>
  <c r="S201" i="3"/>
  <c r="T201" i="3" s="1"/>
  <c r="S202" i="3"/>
  <c r="T202" i="3" s="1"/>
  <c r="S203" i="3"/>
  <c r="T203" i="3" s="1"/>
  <c r="S204" i="3"/>
  <c r="T204" i="3" s="1"/>
  <c r="S205" i="3"/>
  <c r="T205" i="3" s="1"/>
  <c r="S206" i="3"/>
  <c r="T206" i="3" s="1"/>
  <c r="S207" i="3"/>
  <c r="T207" i="3" s="1"/>
  <c r="S208" i="3"/>
  <c r="T208" i="3" s="1"/>
  <c r="S209" i="3"/>
  <c r="T209" i="3" s="1"/>
  <c r="S210" i="3"/>
  <c r="T210" i="3" s="1"/>
  <c r="S211" i="3"/>
  <c r="T211" i="3" s="1"/>
  <c r="S212" i="3"/>
  <c r="T212" i="3" s="1"/>
  <c r="S213" i="3"/>
  <c r="T213" i="3" s="1"/>
  <c r="S214" i="3"/>
  <c r="T214" i="3" s="1"/>
  <c r="S215" i="3"/>
  <c r="T215" i="3" s="1"/>
  <c r="S216" i="3"/>
  <c r="T216" i="3" s="1"/>
  <c r="S217" i="3"/>
  <c r="T217" i="3" s="1"/>
  <c r="S218" i="3"/>
  <c r="T218" i="3" s="1"/>
  <c r="S219" i="3"/>
  <c r="T219" i="3" s="1"/>
  <c r="S220" i="3"/>
  <c r="T220" i="3" s="1"/>
  <c r="S221" i="3"/>
  <c r="T221" i="3" s="1"/>
  <c r="S222" i="3"/>
  <c r="T222" i="3" s="1"/>
  <c r="S223" i="3"/>
  <c r="T223" i="3" s="1"/>
  <c r="S224" i="3"/>
  <c r="T224" i="3" s="1"/>
  <c r="S225" i="3"/>
  <c r="T225" i="3" s="1"/>
  <c r="S226" i="3"/>
  <c r="T226" i="3" s="1"/>
  <c r="S227" i="3"/>
  <c r="T227" i="3" s="1"/>
  <c r="S228" i="3"/>
  <c r="T228" i="3" s="1"/>
  <c r="S229" i="3"/>
  <c r="T229" i="3" s="1"/>
  <c r="S230" i="3"/>
  <c r="T230" i="3" s="1"/>
  <c r="S231" i="3"/>
  <c r="T231" i="3" s="1"/>
  <c r="S232" i="3"/>
  <c r="T232" i="3" s="1"/>
  <c r="S233" i="3"/>
  <c r="T233" i="3" s="1"/>
  <c r="S234" i="3"/>
  <c r="T234" i="3" s="1"/>
  <c r="S235" i="3"/>
  <c r="T235" i="3" s="1"/>
  <c r="S236" i="3"/>
  <c r="T236" i="3" s="1"/>
  <c r="S237" i="3"/>
  <c r="T237" i="3" s="1"/>
  <c r="S238" i="3"/>
  <c r="T238" i="3" s="1"/>
  <c r="S239" i="3"/>
  <c r="T239" i="3" s="1"/>
  <c r="S240" i="3"/>
  <c r="T240" i="3" s="1"/>
  <c r="S241" i="3"/>
  <c r="T241" i="3" s="1"/>
  <c r="S242" i="3"/>
  <c r="T242" i="3" s="1"/>
  <c r="S243" i="3"/>
  <c r="T243" i="3" s="1"/>
  <c r="S244" i="3"/>
  <c r="T244" i="3" s="1"/>
  <c r="S245" i="3"/>
  <c r="T245" i="3" s="1"/>
  <c r="S246" i="3"/>
  <c r="T246" i="3" s="1"/>
  <c r="S247" i="3"/>
  <c r="T247" i="3" s="1"/>
  <c r="S248" i="3"/>
  <c r="T248" i="3" s="1"/>
  <c r="S249" i="3"/>
  <c r="T249" i="3" s="1"/>
  <c r="S250" i="3"/>
  <c r="T250" i="3" s="1"/>
  <c r="S251" i="3"/>
  <c r="T251" i="3" s="1"/>
  <c r="S252" i="3"/>
  <c r="T252" i="3" s="1"/>
  <c r="S253" i="3"/>
  <c r="T253" i="3" s="1"/>
  <c r="S254" i="3"/>
  <c r="T254" i="3" s="1"/>
  <c r="S255" i="3"/>
  <c r="T255" i="3" s="1"/>
  <c r="S256" i="3"/>
  <c r="T256" i="3" s="1"/>
  <c r="S257" i="3"/>
  <c r="T257" i="3" s="1"/>
  <c r="S258" i="3"/>
  <c r="T258" i="3" s="1"/>
  <c r="S259" i="3"/>
  <c r="T259" i="3" s="1"/>
  <c r="S260" i="3"/>
  <c r="T260" i="3" s="1"/>
  <c r="S261" i="3"/>
  <c r="T261" i="3" s="1"/>
  <c r="S262" i="3"/>
  <c r="T262" i="3" s="1"/>
  <c r="S263" i="3"/>
  <c r="T263" i="3" s="1"/>
  <c r="S264" i="3"/>
  <c r="T264" i="3" s="1"/>
  <c r="S265" i="3"/>
  <c r="T265" i="3" s="1"/>
  <c r="S266" i="3"/>
  <c r="T266" i="3" s="1"/>
  <c r="S267" i="3"/>
  <c r="T267" i="3" s="1"/>
  <c r="S268" i="3"/>
  <c r="T268" i="3" s="1"/>
  <c r="S269" i="3"/>
  <c r="T269" i="3" s="1"/>
  <c r="S270" i="3"/>
  <c r="T270" i="3" s="1"/>
  <c r="S271" i="3"/>
  <c r="T271" i="3" s="1"/>
  <c r="S272" i="3"/>
  <c r="T272" i="3" s="1"/>
  <c r="S273" i="3"/>
  <c r="T273" i="3" s="1"/>
  <c r="S274" i="3"/>
  <c r="T274" i="3" s="1"/>
  <c r="S275" i="3"/>
  <c r="T275" i="3" s="1"/>
  <c r="S276" i="3"/>
  <c r="T276" i="3" s="1"/>
  <c r="S277" i="3"/>
  <c r="T277" i="3" s="1"/>
  <c r="S278" i="3"/>
  <c r="T278" i="3" s="1"/>
  <c r="S279" i="3"/>
  <c r="T279" i="3" s="1"/>
  <c r="S280" i="3"/>
  <c r="T280" i="3" s="1"/>
  <c r="S281" i="3"/>
  <c r="T281" i="3" s="1"/>
  <c r="S282" i="3"/>
  <c r="T282" i="3" s="1"/>
  <c r="S283" i="3"/>
  <c r="T283" i="3" s="1"/>
  <c r="S284" i="3"/>
  <c r="T284" i="3" s="1"/>
  <c r="S285" i="3"/>
  <c r="T285" i="3" s="1"/>
  <c r="S286" i="3"/>
  <c r="T286" i="3" s="1"/>
  <c r="S287" i="3"/>
  <c r="T287" i="3" s="1"/>
  <c r="S288" i="3"/>
  <c r="T288" i="3" s="1"/>
  <c r="S289" i="3"/>
  <c r="T289" i="3" s="1"/>
  <c r="S290" i="3"/>
  <c r="T290" i="3" s="1"/>
  <c r="S291" i="3"/>
  <c r="T291" i="3" s="1"/>
  <c r="S292" i="3"/>
  <c r="T292" i="3" s="1"/>
  <c r="S293" i="3"/>
  <c r="T293" i="3" s="1"/>
  <c r="S294" i="3"/>
  <c r="T294" i="3" s="1"/>
  <c r="S295" i="3"/>
  <c r="T295" i="3" s="1"/>
  <c r="S296" i="3"/>
  <c r="T296" i="3" s="1"/>
  <c r="S297" i="3"/>
  <c r="T297" i="3" s="1"/>
  <c r="S298" i="3"/>
  <c r="T298" i="3" s="1"/>
  <c r="S299" i="3"/>
  <c r="T299" i="3" s="1"/>
  <c r="S300" i="3"/>
  <c r="T300" i="3" s="1"/>
  <c r="S301" i="3"/>
  <c r="T301" i="3" s="1"/>
  <c r="S302" i="3"/>
  <c r="T302" i="3" s="1"/>
  <c r="S303" i="3"/>
  <c r="T303" i="3" s="1"/>
  <c r="S304" i="3"/>
  <c r="T304" i="3" s="1"/>
  <c r="S305" i="3"/>
  <c r="T305" i="3" s="1"/>
  <c r="S306" i="3"/>
  <c r="T306" i="3" s="1"/>
  <c r="S307" i="3"/>
  <c r="T307" i="3" s="1"/>
  <c r="S308" i="3"/>
  <c r="T308" i="3" s="1"/>
  <c r="S309" i="3"/>
  <c r="T309" i="3" s="1"/>
  <c r="S310" i="3"/>
  <c r="T310" i="3" s="1"/>
  <c r="S311" i="3"/>
  <c r="T311" i="3" s="1"/>
  <c r="S312" i="3"/>
  <c r="T312" i="3" s="1"/>
  <c r="S313" i="3"/>
  <c r="T313" i="3" s="1"/>
  <c r="S314" i="3"/>
  <c r="T314" i="3" s="1"/>
  <c r="S315" i="3"/>
  <c r="T315" i="3" s="1"/>
  <c r="S316" i="3"/>
  <c r="T316" i="3" s="1"/>
  <c r="S317" i="3"/>
  <c r="T317" i="3" s="1"/>
  <c r="S318" i="3"/>
  <c r="T318" i="3" s="1"/>
  <c r="S319" i="3"/>
  <c r="T319" i="3" s="1"/>
  <c r="S320" i="3"/>
  <c r="T320" i="3" s="1"/>
  <c r="S321" i="3"/>
  <c r="T321" i="3" s="1"/>
  <c r="S322" i="3"/>
  <c r="T322" i="3" s="1"/>
  <c r="S323" i="3"/>
  <c r="T323" i="3" s="1"/>
  <c r="S324" i="3"/>
  <c r="T324" i="3" s="1"/>
  <c r="S325" i="3"/>
  <c r="T325" i="3" s="1"/>
  <c r="S326" i="3"/>
  <c r="T326" i="3" s="1"/>
  <c r="S327" i="3"/>
  <c r="T327" i="3" s="1"/>
  <c r="S328" i="3"/>
  <c r="T328" i="3" s="1"/>
  <c r="S329" i="3"/>
  <c r="T329" i="3" s="1"/>
  <c r="S330" i="3"/>
  <c r="T330" i="3" s="1"/>
  <c r="S331" i="3"/>
  <c r="T331" i="3" s="1"/>
  <c r="S332" i="3"/>
  <c r="T332" i="3" s="1"/>
  <c r="S333" i="3"/>
  <c r="T333" i="3" s="1"/>
  <c r="S334" i="3"/>
  <c r="T334" i="3" s="1"/>
  <c r="S335" i="3"/>
  <c r="T335" i="3" s="1"/>
  <c r="S336" i="3"/>
  <c r="T336" i="3" s="1"/>
  <c r="S337" i="3"/>
  <c r="T337" i="3" s="1"/>
  <c r="S338" i="3"/>
  <c r="T338" i="3" s="1"/>
  <c r="S339" i="3"/>
  <c r="T339" i="3" s="1"/>
  <c r="S340" i="3"/>
  <c r="T340" i="3" s="1"/>
  <c r="S341" i="3"/>
  <c r="T341" i="3" s="1"/>
  <c r="S342" i="3"/>
  <c r="T342" i="3" s="1"/>
  <c r="S343" i="3"/>
  <c r="T343" i="3" s="1"/>
  <c r="S344" i="3"/>
  <c r="T344" i="3" s="1"/>
  <c r="S345" i="3"/>
  <c r="T345" i="3" s="1"/>
  <c r="S346" i="3"/>
  <c r="T346" i="3" s="1"/>
  <c r="S347" i="3"/>
  <c r="T347" i="3" s="1"/>
  <c r="S348" i="3"/>
  <c r="T348" i="3" s="1"/>
  <c r="S349" i="3"/>
  <c r="T349" i="3" s="1"/>
  <c r="S350" i="3"/>
  <c r="T350" i="3" s="1"/>
  <c r="S351" i="3"/>
  <c r="T351" i="3" s="1"/>
  <c r="S352" i="3"/>
  <c r="T352" i="3" s="1"/>
  <c r="S353" i="3"/>
  <c r="T353" i="3" s="1"/>
  <c r="S354" i="3"/>
  <c r="T354" i="3" s="1"/>
  <c r="S355" i="3"/>
  <c r="T355" i="3" s="1"/>
  <c r="S356" i="3"/>
  <c r="T356" i="3" s="1"/>
  <c r="S357" i="3"/>
  <c r="T357" i="3" s="1"/>
  <c r="S358" i="3"/>
  <c r="T358" i="3" s="1"/>
  <c r="S359" i="3"/>
  <c r="T359" i="3" s="1"/>
  <c r="S360" i="3"/>
  <c r="T360" i="3" s="1"/>
  <c r="S361" i="3"/>
  <c r="T361" i="3" s="1"/>
  <c r="S362" i="3"/>
  <c r="T362" i="3" s="1"/>
  <c r="S363" i="3"/>
  <c r="T363" i="3" s="1"/>
  <c r="S364" i="3"/>
  <c r="T364" i="3" s="1"/>
  <c r="S365" i="3"/>
  <c r="T365" i="3" s="1"/>
  <c r="S366" i="3"/>
  <c r="T366" i="3" s="1"/>
  <c r="S367" i="3"/>
  <c r="T367" i="3" s="1"/>
  <c r="S368" i="3"/>
  <c r="T368" i="3" s="1"/>
  <c r="S369" i="3"/>
  <c r="T369" i="3" s="1"/>
  <c r="S370" i="3"/>
  <c r="T370" i="3" s="1"/>
  <c r="S371" i="3"/>
  <c r="T371" i="3" s="1"/>
  <c r="S372" i="3"/>
  <c r="T372" i="3" s="1"/>
  <c r="S373" i="3"/>
  <c r="T373" i="3" s="1"/>
  <c r="S374" i="3"/>
  <c r="T374" i="3" s="1"/>
  <c r="S375" i="3"/>
  <c r="T375" i="3" s="1"/>
  <c r="S376" i="3"/>
  <c r="T376" i="3" s="1"/>
  <c r="S377" i="3"/>
  <c r="T377" i="3" s="1"/>
  <c r="S378" i="3"/>
  <c r="T378" i="3" s="1"/>
  <c r="S379" i="3"/>
  <c r="T379" i="3" s="1"/>
  <c r="S380" i="3"/>
  <c r="T380" i="3" s="1"/>
  <c r="S381" i="3"/>
  <c r="T381" i="3" s="1"/>
  <c r="S382" i="3"/>
  <c r="T382" i="3" s="1"/>
  <c r="S383" i="3"/>
  <c r="T383" i="3" s="1"/>
  <c r="S384" i="3"/>
  <c r="T384" i="3" s="1"/>
  <c r="S385" i="3"/>
  <c r="T385" i="3" s="1"/>
  <c r="S386" i="3"/>
  <c r="T386" i="3" s="1"/>
  <c r="S387" i="3"/>
  <c r="T387" i="3" s="1"/>
  <c r="S388" i="3"/>
  <c r="T388" i="3" s="1"/>
  <c r="S389" i="3"/>
  <c r="T389" i="3" s="1"/>
  <c r="S390" i="3"/>
  <c r="T390" i="3" s="1"/>
  <c r="S391" i="3"/>
  <c r="T391" i="3" s="1"/>
  <c r="S392" i="3"/>
  <c r="T392" i="3" s="1"/>
  <c r="S393" i="3"/>
  <c r="T393" i="3" s="1"/>
  <c r="S394" i="3"/>
  <c r="T394" i="3" s="1"/>
  <c r="S395" i="3"/>
  <c r="T395" i="3" s="1"/>
  <c r="S396" i="3"/>
  <c r="T396" i="3" s="1"/>
  <c r="S397" i="3"/>
  <c r="T397" i="3" s="1"/>
  <c r="S398" i="3"/>
  <c r="T398" i="3" s="1"/>
  <c r="S399" i="3"/>
  <c r="T399" i="3" s="1"/>
  <c r="S400" i="3"/>
  <c r="T400" i="3" s="1"/>
  <c r="S401" i="3"/>
  <c r="T401" i="3" s="1"/>
  <c r="S402" i="3"/>
  <c r="T402" i="3" s="1"/>
  <c r="S403" i="3"/>
  <c r="T403" i="3" s="1"/>
  <c r="S404" i="3"/>
  <c r="T404" i="3" s="1"/>
  <c r="S405" i="3"/>
  <c r="T405" i="3" s="1"/>
  <c r="S406" i="3"/>
  <c r="T406" i="3" s="1"/>
  <c r="S407" i="3"/>
  <c r="T407" i="3" s="1"/>
  <c r="S408" i="3"/>
  <c r="T408" i="3" s="1"/>
  <c r="S409" i="3"/>
  <c r="T409" i="3" s="1"/>
  <c r="S410" i="3"/>
  <c r="T410" i="3" s="1"/>
  <c r="S411" i="3"/>
  <c r="T411" i="3" s="1"/>
  <c r="S412" i="3"/>
  <c r="T412" i="3" s="1"/>
  <c r="S413" i="3"/>
  <c r="T413" i="3" s="1"/>
  <c r="S414" i="3"/>
  <c r="T414" i="3" s="1"/>
  <c r="S415" i="3"/>
  <c r="T415" i="3" s="1"/>
  <c r="S416" i="3"/>
  <c r="T416" i="3" s="1"/>
  <c r="S417" i="3"/>
  <c r="T417" i="3" s="1"/>
  <c r="S418" i="3"/>
  <c r="T418" i="3" s="1"/>
  <c r="S419" i="3"/>
  <c r="T419" i="3" s="1"/>
  <c r="S420" i="3"/>
  <c r="T420" i="3" s="1"/>
  <c r="S421" i="3"/>
  <c r="T421" i="3" s="1"/>
  <c r="S422" i="3"/>
  <c r="T422" i="3" s="1"/>
  <c r="S423" i="3"/>
  <c r="T423" i="3" s="1"/>
  <c r="S424" i="3"/>
  <c r="T424" i="3" s="1"/>
  <c r="S425" i="3"/>
  <c r="T425" i="3" s="1"/>
  <c r="S426" i="3"/>
  <c r="T426" i="3" s="1"/>
  <c r="S427" i="3"/>
  <c r="T427" i="3" s="1"/>
  <c r="S428" i="3"/>
  <c r="T428" i="3" s="1"/>
  <c r="S429" i="3"/>
  <c r="T429" i="3" s="1"/>
  <c r="S430" i="3"/>
  <c r="T430" i="3" s="1"/>
  <c r="S431" i="3"/>
  <c r="T431" i="3" s="1"/>
  <c r="S432" i="3"/>
  <c r="T432" i="3" s="1"/>
  <c r="S433" i="3"/>
  <c r="T433" i="3" s="1"/>
  <c r="S434" i="3"/>
  <c r="T434" i="3" s="1"/>
  <c r="S435" i="3"/>
  <c r="T435" i="3" s="1"/>
  <c r="S436" i="3"/>
  <c r="T436" i="3" s="1"/>
  <c r="S437" i="3"/>
  <c r="T437" i="3" s="1"/>
  <c r="S438" i="3"/>
  <c r="T438" i="3" s="1"/>
  <c r="S439" i="3"/>
  <c r="T439" i="3" s="1"/>
  <c r="S440" i="3"/>
  <c r="T440" i="3" s="1"/>
  <c r="S441" i="3"/>
  <c r="T441" i="3" s="1"/>
  <c r="S442" i="3"/>
  <c r="T442" i="3" s="1"/>
  <c r="S443" i="3"/>
  <c r="T443" i="3" s="1"/>
  <c r="S444" i="3"/>
  <c r="T444" i="3" s="1"/>
  <c r="S445" i="3"/>
  <c r="T445" i="3" s="1"/>
  <c r="S446" i="3"/>
  <c r="T446" i="3" s="1"/>
  <c r="S447" i="3"/>
  <c r="T447" i="3" s="1"/>
  <c r="S448" i="3"/>
  <c r="T448" i="3" s="1"/>
  <c r="S449" i="3"/>
  <c r="T449" i="3" s="1"/>
  <c r="S450" i="3"/>
  <c r="T450" i="3" s="1"/>
  <c r="S451" i="3"/>
  <c r="T451" i="3" s="1"/>
  <c r="S452" i="3"/>
  <c r="T452" i="3" s="1"/>
  <c r="S453" i="3"/>
  <c r="T453" i="3" s="1"/>
  <c r="S454" i="3"/>
  <c r="T454" i="3" s="1"/>
  <c r="S455" i="3"/>
  <c r="T455" i="3" s="1"/>
  <c r="S456" i="3"/>
  <c r="T456" i="3" s="1"/>
  <c r="S457" i="3"/>
  <c r="T457" i="3" s="1"/>
  <c r="S458" i="3"/>
  <c r="T458" i="3" s="1"/>
  <c r="S459" i="3"/>
  <c r="T459" i="3" s="1"/>
  <c r="S460" i="3"/>
  <c r="T460" i="3" s="1"/>
  <c r="S461" i="3"/>
  <c r="T461" i="3" s="1"/>
  <c r="S462" i="3"/>
  <c r="T462" i="3" s="1"/>
  <c r="S463" i="3"/>
  <c r="T463" i="3" s="1"/>
  <c r="S464" i="3"/>
  <c r="T464" i="3" s="1"/>
  <c r="S465" i="3"/>
  <c r="T465" i="3" s="1"/>
  <c r="S466" i="3"/>
  <c r="T466" i="3" s="1"/>
  <c r="S467" i="3"/>
  <c r="T467" i="3" s="1"/>
  <c r="S468" i="3"/>
  <c r="T468" i="3" s="1"/>
  <c r="S469" i="3"/>
  <c r="T469" i="3" s="1"/>
  <c r="S470" i="3"/>
  <c r="T470" i="3" s="1"/>
  <c r="S471" i="3"/>
  <c r="T471" i="3" s="1"/>
  <c r="S472" i="3"/>
  <c r="T472" i="3" s="1"/>
  <c r="S473" i="3"/>
  <c r="T473" i="3" s="1"/>
  <c r="S474" i="3"/>
  <c r="T474" i="3" s="1"/>
  <c r="S475" i="3"/>
  <c r="T475" i="3" s="1"/>
  <c r="S476" i="3"/>
  <c r="T476" i="3" s="1"/>
  <c r="S477" i="3"/>
  <c r="T477" i="3" s="1"/>
  <c r="S478" i="3"/>
  <c r="T478" i="3" s="1"/>
  <c r="S479" i="3"/>
  <c r="T479" i="3" s="1"/>
  <c r="S480" i="3"/>
  <c r="T480" i="3" s="1"/>
  <c r="S481" i="3"/>
  <c r="T481" i="3" s="1"/>
  <c r="S482" i="3"/>
  <c r="T482" i="3" s="1"/>
  <c r="S483" i="3"/>
  <c r="T483" i="3" s="1"/>
  <c r="S484" i="3"/>
  <c r="T484" i="3" s="1"/>
  <c r="S485" i="3"/>
  <c r="T485" i="3" s="1"/>
  <c r="S486" i="3"/>
  <c r="T486" i="3" s="1"/>
  <c r="S487" i="3"/>
  <c r="T487" i="3" s="1"/>
  <c r="S488" i="3"/>
  <c r="T488" i="3" s="1"/>
  <c r="S489" i="3"/>
  <c r="T489" i="3" s="1"/>
  <c r="S490" i="3"/>
  <c r="T490" i="3" s="1"/>
  <c r="S491" i="3"/>
  <c r="T491" i="3" s="1"/>
  <c r="S492" i="3"/>
  <c r="T492" i="3" s="1"/>
  <c r="S493" i="3"/>
  <c r="T493" i="3" s="1"/>
  <c r="S494" i="3"/>
  <c r="T494" i="3" s="1"/>
  <c r="S495" i="3"/>
  <c r="T495" i="3" s="1"/>
  <c r="S496" i="3"/>
  <c r="T496" i="3" s="1"/>
  <c r="S497" i="3"/>
  <c r="T497" i="3" s="1"/>
  <c r="S498" i="3"/>
  <c r="T498" i="3" s="1"/>
  <c r="S499" i="3"/>
  <c r="T499" i="3" s="1"/>
  <c r="S500" i="3"/>
  <c r="T500" i="3" s="1"/>
  <c r="S501" i="3"/>
  <c r="T501" i="3" s="1"/>
  <c r="S502" i="3"/>
  <c r="T502" i="3" s="1"/>
  <c r="S503" i="3"/>
  <c r="T503" i="3" s="1"/>
  <c r="S504" i="3"/>
  <c r="T504" i="3" s="1"/>
  <c r="S505" i="3"/>
  <c r="T505" i="3" s="1"/>
  <c r="S506" i="3"/>
  <c r="T506" i="3" s="1"/>
  <c r="S507" i="3"/>
  <c r="T507" i="3" s="1"/>
  <c r="S508" i="3"/>
  <c r="T508" i="3" s="1"/>
  <c r="S509" i="3"/>
  <c r="T509" i="3" s="1"/>
  <c r="S510" i="3"/>
  <c r="T510" i="3" s="1"/>
  <c r="S511" i="3"/>
  <c r="T511" i="3" s="1"/>
  <c r="S512" i="3"/>
  <c r="T512" i="3" s="1"/>
  <c r="S513" i="3"/>
  <c r="T513" i="3" s="1"/>
  <c r="S514" i="3"/>
  <c r="T514" i="3" s="1"/>
  <c r="S515" i="3"/>
  <c r="T515" i="3" s="1"/>
  <c r="S516" i="3"/>
  <c r="T516" i="3" s="1"/>
  <c r="S517" i="3"/>
  <c r="T517" i="3" s="1"/>
  <c r="S518" i="3"/>
  <c r="T518" i="3" s="1"/>
  <c r="S519" i="3"/>
  <c r="T519" i="3" s="1"/>
  <c r="S520" i="3"/>
  <c r="T520" i="3" s="1"/>
  <c r="S521" i="3"/>
  <c r="T521" i="3" s="1"/>
  <c r="S522" i="3"/>
  <c r="T522" i="3" s="1"/>
  <c r="S523" i="3"/>
  <c r="T523" i="3" s="1"/>
  <c r="S524" i="3"/>
  <c r="T524" i="3" s="1"/>
  <c r="S525" i="3"/>
  <c r="T525" i="3" s="1"/>
  <c r="S526" i="3"/>
  <c r="T526" i="3" s="1"/>
  <c r="S527" i="3"/>
  <c r="T527" i="3" s="1"/>
  <c r="S528" i="3"/>
  <c r="T528" i="3" s="1"/>
  <c r="S529" i="3"/>
  <c r="T529" i="3" s="1"/>
  <c r="S530" i="3"/>
  <c r="T530" i="3" s="1"/>
  <c r="S531" i="3"/>
  <c r="T531" i="3" s="1"/>
  <c r="S532" i="3"/>
  <c r="T532" i="3" s="1"/>
  <c r="S533" i="3"/>
  <c r="T533" i="3" s="1"/>
  <c r="S534" i="3"/>
  <c r="T534" i="3" s="1"/>
  <c r="S535" i="3"/>
  <c r="T535" i="3" s="1"/>
  <c r="S536" i="3"/>
  <c r="T536" i="3" s="1"/>
  <c r="S537" i="3"/>
  <c r="T537" i="3" s="1"/>
  <c r="S538" i="3"/>
  <c r="T538" i="3" s="1"/>
  <c r="S539" i="3"/>
  <c r="T539" i="3" s="1"/>
  <c r="S540" i="3"/>
  <c r="T540" i="3" s="1"/>
  <c r="S541" i="3"/>
  <c r="T541" i="3" s="1"/>
  <c r="S542" i="3"/>
  <c r="T542" i="3" s="1"/>
  <c r="S543" i="3"/>
  <c r="T543" i="3" s="1"/>
  <c r="S544" i="3"/>
  <c r="T544" i="3" s="1"/>
  <c r="S545" i="3"/>
  <c r="T545" i="3" s="1"/>
  <c r="S546" i="3"/>
  <c r="T546" i="3" s="1"/>
  <c r="S547" i="3"/>
  <c r="T547" i="3" s="1"/>
  <c r="S548" i="3"/>
  <c r="T548" i="3" s="1"/>
  <c r="S549" i="3"/>
  <c r="T549" i="3" s="1"/>
  <c r="S550" i="3"/>
  <c r="T550" i="3" s="1"/>
  <c r="S551" i="3"/>
  <c r="T551" i="3" s="1"/>
  <c r="S552" i="3"/>
  <c r="T552" i="3" s="1"/>
  <c r="S553" i="3"/>
  <c r="T553" i="3" s="1"/>
  <c r="S554" i="3"/>
  <c r="T554" i="3" s="1"/>
  <c r="S555" i="3"/>
  <c r="T555" i="3" s="1"/>
  <c r="S556" i="3"/>
  <c r="T556" i="3" s="1"/>
  <c r="S557" i="3"/>
  <c r="T557" i="3" s="1"/>
  <c r="S558" i="3"/>
  <c r="T558" i="3" s="1"/>
  <c r="S559" i="3"/>
  <c r="T559" i="3" s="1"/>
  <c r="S560" i="3"/>
  <c r="T560" i="3" s="1"/>
  <c r="S561" i="3"/>
  <c r="T561" i="3" s="1"/>
  <c r="S562" i="3"/>
  <c r="T562" i="3" s="1"/>
  <c r="S563" i="3"/>
  <c r="T563" i="3" s="1"/>
  <c r="S564" i="3"/>
  <c r="T564" i="3" s="1"/>
  <c r="S565" i="3"/>
  <c r="T565" i="3" s="1"/>
  <c r="S566" i="3"/>
  <c r="T566" i="3" s="1"/>
  <c r="S567" i="3"/>
  <c r="T567" i="3" s="1"/>
  <c r="S568" i="3"/>
  <c r="T568" i="3" s="1"/>
  <c r="S569" i="3"/>
  <c r="T569" i="3" s="1"/>
  <c r="S570" i="3"/>
  <c r="T570" i="3" s="1"/>
  <c r="S571" i="3"/>
  <c r="T571" i="3" s="1"/>
  <c r="S572" i="3"/>
  <c r="T572" i="3" s="1"/>
  <c r="S573" i="3"/>
  <c r="T573" i="3" s="1"/>
  <c r="S574" i="3"/>
  <c r="T574" i="3" s="1"/>
  <c r="S575" i="3"/>
  <c r="T575" i="3" s="1"/>
  <c r="S576" i="3"/>
  <c r="T576" i="3" s="1"/>
  <c r="S577" i="3"/>
  <c r="T577" i="3" s="1"/>
  <c r="S578" i="3"/>
  <c r="T578" i="3" s="1"/>
  <c r="S579" i="3"/>
  <c r="T579" i="3" s="1"/>
  <c r="S580" i="3"/>
  <c r="T580" i="3" s="1"/>
  <c r="S581" i="3"/>
  <c r="T581" i="3" s="1"/>
  <c r="S582" i="3"/>
  <c r="T582" i="3" s="1"/>
  <c r="S583" i="3"/>
  <c r="T583" i="3" s="1"/>
  <c r="S584" i="3"/>
  <c r="T584" i="3" s="1"/>
  <c r="S585" i="3"/>
  <c r="T585" i="3" s="1"/>
  <c r="S586" i="3"/>
  <c r="T586" i="3" s="1"/>
  <c r="S587" i="3"/>
  <c r="T587" i="3" s="1"/>
  <c r="S588" i="3"/>
  <c r="T588" i="3" s="1"/>
  <c r="S589" i="3"/>
  <c r="T589" i="3" s="1"/>
  <c r="S590" i="3"/>
  <c r="T590" i="3" s="1"/>
  <c r="S591" i="3"/>
  <c r="T591" i="3" s="1"/>
  <c r="S592" i="3"/>
  <c r="T592" i="3" s="1"/>
  <c r="S593" i="3"/>
  <c r="T593" i="3" s="1"/>
  <c r="S594" i="3"/>
  <c r="T594" i="3" s="1"/>
  <c r="S595" i="3"/>
  <c r="T595" i="3" s="1"/>
  <c r="S596" i="3"/>
  <c r="T596" i="3" s="1"/>
  <c r="S597" i="3"/>
  <c r="T597" i="3" s="1"/>
  <c r="S598" i="3"/>
  <c r="T598" i="3" s="1"/>
  <c r="S599" i="3"/>
  <c r="T599" i="3" s="1"/>
  <c r="S600" i="3"/>
  <c r="T600" i="3" s="1"/>
  <c r="S601" i="3"/>
  <c r="T601" i="3" s="1"/>
  <c r="S602" i="3"/>
  <c r="T602" i="3" s="1"/>
  <c r="S603" i="3"/>
  <c r="T603" i="3" s="1"/>
  <c r="S604" i="3"/>
  <c r="T604" i="3" s="1"/>
  <c r="S605" i="3"/>
  <c r="T605" i="3" s="1"/>
  <c r="S606" i="3"/>
  <c r="T606" i="3" s="1"/>
  <c r="S607" i="3"/>
  <c r="T607" i="3" s="1"/>
  <c r="S608" i="3"/>
  <c r="T608" i="3" s="1"/>
  <c r="S609" i="3"/>
  <c r="T609" i="3" s="1"/>
  <c r="S610" i="3"/>
  <c r="T610" i="3" s="1"/>
  <c r="S611" i="3"/>
  <c r="T611" i="3" s="1"/>
  <c r="S612" i="3"/>
  <c r="T612" i="3" s="1"/>
  <c r="S613" i="3"/>
  <c r="T613" i="3" s="1"/>
  <c r="S614" i="3"/>
  <c r="T614" i="3" s="1"/>
  <c r="S615" i="3"/>
  <c r="T615" i="3" s="1"/>
  <c r="S616" i="3"/>
  <c r="T616" i="3" s="1"/>
  <c r="S617" i="3"/>
  <c r="T617" i="3" s="1"/>
  <c r="S618" i="3"/>
  <c r="T618" i="3" s="1"/>
  <c r="S619" i="3"/>
  <c r="T619" i="3" s="1"/>
  <c r="S620" i="3"/>
  <c r="T620" i="3" s="1"/>
  <c r="S621" i="3"/>
  <c r="T621" i="3" s="1"/>
  <c r="S622" i="3"/>
  <c r="T622" i="3" s="1"/>
  <c r="S623" i="3"/>
  <c r="T623" i="3" s="1"/>
  <c r="S624" i="3"/>
  <c r="T624" i="3" s="1"/>
  <c r="S625" i="3"/>
  <c r="T625" i="3" s="1"/>
  <c r="S626" i="3"/>
  <c r="T626" i="3" s="1"/>
  <c r="S627" i="3"/>
  <c r="T627" i="3" s="1"/>
  <c r="S628" i="3"/>
  <c r="T628" i="3" s="1"/>
  <c r="S629" i="3"/>
  <c r="T629" i="3" s="1"/>
  <c r="S630" i="3"/>
  <c r="T630" i="3" s="1"/>
  <c r="S631" i="3"/>
  <c r="T631" i="3" s="1"/>
  <c r="S632" i="3"/>
  <c r="T632" i="3" s="1"/>
  <c r="S633" i="3"/>
  <c r="T633" i="3" s="1"/>
  <c r="S634" i="3"/>
  <c r="T634" i="3" s="1"/>
  <c r="S635" i="3"/>
  <c r="T635" i="3" s="1"/>
  <c r="S636" i="3"/>
  <c r="T636" i="3" s="1"/>
  <c r="S637" i="3"/>
  <c r="T637" i="3" s="1"/>
  <c r="S638" i="3"/>
  <c r="T638" i="3" s="1"/>
  <c r="S639" i="3"/>
  <c r="T639" i="3" s="1"/>
  <c r="S640" i="3"/>
  <c r="T640" i="3" s="1"/>
  <c r="S641" i="3"/>
  <c r="T641" i="3" s="1"/>
  <c r="S642" i="3"/>
  <c r="T642" i="3" s="1"/>
  <c r="S643" i="3"/>
  <c r="T643" i="3" s="1"/>
  <c r="S644" i="3"/>
  <c r="T644" i="3" s="1"/>
  <c r="S645" i="3"/>
  <c r="T645" i="3" s="1"/>
  <c r="S646" i="3"/>
  <c r="T646" i="3" s="1"/>
  <c r="S647" i="3"/>
  <c r="T647" i="3" s="1"/>
  <c r="S648" i="3"/>
  <c r="T648" i="3" s="1"/>
  <c r="S649" i="3"/>
  <c r="T649" i="3" s="1"/>
  <c r="S650" i="3"/>
  <c r="T650" i="3" s="1"/>
  <c r="S651" i="3"/>
  <c r="T651" i="3" s="1"/>
  <c r="S652" i="3"/>
  <c r="T652" i="3" s="1"/>
  <c r="S653" i="3"/>
  <c r="T653" i="3" s="1"/>
  <c r="S654" i="3"/>
  <c r="T654" i="3" s="1"/>
  <c r="S655" i="3"/>
  <c r="T655" i="3" s="1"/>
  <c r="S656" i="3"/>
  <c r="T656" i="3" s="1"/>
  <c r="S657" i="3"/>
  <c r="T657" i="3" s="1"/>
  <c r="S658" i="3"/>
  <c r="T658" i="3" s="1"/>
  <c r="S659" i="3"/>
  <c r="T659" i="3" s="1"/>
  <c r="S660" i="3"/>
  <c r="T660" i="3" s="1"/>
  <c r="S661" i="3"/>
  <c r="T661" i="3" s="1"/>
  <c r="S662" i="3"/>
  <c r="T662" i="3" s="1"/>
  <c r="S663" i="3"/>
  <c r="T663" i="3" s="1"/>
  <c r="S664" i="3"/>
  <c r="T664" i="3" s="1"/>
  <c r="S665" i="3"/>
  <c r="T665" i="3" s="1"/>
  <c r="S666" i="3"/>
  <c r="T666" i="3" s="1"/>
  <c r="S667" i="3"/>
  <c r="T667" i="3" s="1"/>
  <c r="S668" i="3"/>
  <c r="T668" i="3" s="1"/>
  <c r="S669" i="3"/>
  <c r="T669" i="3" s="1"/>
  <c r="S670" i="3"/>
  <c r="T670" i="3" s="1"/>
  <c r="S671" i="3"/>
  <c r="T671" i="3" s="1"/>
  <c r="S672" i="3"/>
  <c r="T672" i="3" s="1"/>
  <c r="S673" i="3"/>
  <c r="T673" i="3" s="1"/>
  <c r="S674" i="3"/>
  <c r="T674" i="3" s="1"/>
  <c r="S675" i="3"/>
  <c r="T675" i="3" s="1"/>
  <c r="S676" i="3"/>
  <c r="T676" i="3" s="1"/>
  <c r="S677" i="3"/>
  <c r="T677" i="3" s="1"/>
  <c r="S678" i="3"/>
  <c r="T678" i="3" s="1"/>
  <c r="S679" i="3"/>
  <c r="T679" i="3" s="1"/>
  <c r="S680" i="3"/>
  <c r="T680" i="3" s="1"/>
  <c r="S681" i="3"/>
  <c r="T681" i="3" s="1"/>
  <c r="S682" i="3"/>
  <c r="T682" i="3" s="1"/>
  <c r="S683" i="3"/>
  <c r="T683" i="3" s="1"/>
  <c r="S684" i="3"/>
  <c r="T684" i="3" s="1"/>
  <c r="S685" i="3"/>
  <c r="T685" i="3" s="1"/>
  <c r="S686" i="3"/>
  <c r="T686" i="3" s="1"/>
  <c r="S687" i="3"/>
  <c r="T687" i="3" s="1"/>
  <c r="S688" i="3"/>
  <c r="T688" i="3" s="1"/>
  <c r="S689" i="3"/>
  <c r="T689" i="3" s="1"/>
  <c r="S690" i="3"/>
  <c r="T690" i="3" s="1"/>
  <c r="S691" i="3"/>
  <c r="T691" i="3" s="1"/>
  <c r="S692" i="3"/>
  <c r="T692" i="3" s="1"/>
  <c r="S693" i="3"/>
  <c r="T693" i="3" s="1"/>
  <c r="S694" i="3"/>
  <c r="T694" i="3" s="1"/>
  <c r="S695" i="3"/>
  <c r="T695" i="3" s="1"/>
  <c r="S696" i="3"/>
  <c r="T696" i="3" s="1"/>
  <c r="S697" i="3"/>
  <c r="T697" i="3" s="1"/>
  <c r="S698" i="3"/>
  <c r="T698" i="3" s="1"/>
  <c r="S699" i="3"/>
  <c r="T699" i="3" s="1"/>
  <c r="S700" i="3"/>
  <c r="T700" i="3" s="1"/>
  <c r="S701" i="3"/>
  <c r="T701" i="3" s="1"/>
  <c r="S702" i="3"/>
  <c r="T702" i="3" s="1"/>
  <c r="S703" i="3"/>
  <c r="T703" i="3" s="1"/>
  <c r="S704" i="3"/>
  <c r="T704" i="3" s="1"/>
  <c r="S705" i="3"/>
  <c r="T705" i="3" s="1"/>
  <c r="S706" i="3"/>
  <c r="T706" i="3" s="1"/>
  <c r="S707" i="3"/>
  <c r="T707" i="3" s="1"/>
  <c r="S708" i="3"/>
  <c r="T708" i="3" s="1"/>
  <c r="S709" i="3"/>
  <c r="T709" i="3" s="1"/>
  <c r="S710" i="3"/>
  <c r="T710" i="3" s="1"/>
  <c r="S711" i="3"/>
  <c r="T711" i="3" s="1"/>
  <c r="S712" i="3"/>
  <c r="T712" i="3" s="1"/>
  <c r="S713" i="3"/>
  <c r="T713" i="3" s="1"/>
  <c r="S714" i="3"/>
  <c r="T714" i="3" s="1"/>
  <c r="S715" i="3"/>
  <c r="T715" i="3" s="1"/>
  <c r="S716" i="3"/>
  <c r="T716" i="3" s="1"/>
  <c r="S717" i="3"/>
  <c r="T717" i="3" s="1"/>
  <c r="S718" i="3"/>
  <c r="T718" i="3" s="1"/>
  <c r="S719" i="3"/>
  <c r="T719" i="3" s="1"/>
  <c r="S720" i="3"/>
  <c r="T720" i="3" s="1"/>
  <c r="S721" i="3"/>
  <c r="T721" i="3" s="1"/>
  <c r="S722" i="3"/>
  <c r="T722" i="3" s="1"/>
  <c r="S723" i="3"/>
  <c r="T723" i="3" s="1"/>
  <c r="S724" i="3"/>
  <c r="T724" i="3" s="1"/>
  <c r="S725" i="3"/>
  <c r="T725" i="3" s="1"/>
  <c r="S726" i="3"/>
  <c r="T726" i="3" s="1"/>
  <c r="S727" i="3"/>
  <c r="T727" i="3" s="1"/>
  <c r="S728" i="3"/>
  <c r="T728" i="3" s="1"/>
  <c r="S729" i="3"/>
  <c r="T729" i="3" s="1"/>
  <c r="S730" i="3"/>
  <c r="T730" i="3" s="1"/>
  <c r="S731" i="3"/>
  <c r="T731" i="3" s="1"/>
  <c r="S732" i="3"/>
  <c r="T732" i="3" s="1"/>
  <c r="S733" i="3"/>
  <c r="T733" i="3" s="1"/>
  <c r="S734" i="3"/>
  <c r="T734" i="3" s="1"/>
  <c r="S735" i="3"/>
  <c r="T735" i="3" s="1"/>
  <c r="S736" i="3"/>
  <c r="T736" i="3" s="1"/>
  <c r="S737" i="3"/>
  <c r="T737" i="3" s="1"/>
  <c r="S738" i="3"/>
  <c r="T738" i="3" s="1"/>
  <c r="S739" i="3"/>
  <c r="T739" i="3" s="1"/>
  <c r="S740" i="3"/>
  <c r="T740" i="3" s="1"/>
  <c r="S741" i="3"/>
  <c r="T741" i="3" s="1"/>
  <c r="S742" i="3"/>
  <c r="T742" i="3" s="1"/>
  <c r="S743" i="3"/>
  <c r="T743" i="3" s="1"/>
  <c r="S744" i="3"/>
  <c r="T744" i="3" s="1"/>
  <c r="S745" i="3"/>
  <c r="T745" i="3" s="1"/>
  <c r="S746" i="3"/>
  <c r="T746" i="3" s="1"/>
  <c r="S747" i="3"/>
  <c r="T747" i="3" s="1"/>
  <c r="S748" i="3"/>
  <c r="T748" i="3" s="1"/>
  <c r="S749" i="3"/>
  <c r="T749" i="3" s="1"/>
  <c r="S750" i="3"/>
  <c r="T750" i="3" s="1"/>
  <c r="S751" i="3"/>
  <c r="T751" i="3" s="1"/>
  <c r="S752" i="3"/>
  <c r="T752" i="3" s="1"/>
  <c r="S753" i="3"/>
  <c r="T753" i="3" s="1"/>
  <c r="S754" i="3"/>
  <c r="T754" i="3" s="1"/>
  <c r="S755" i="3"/>
  <c r="T755" i="3" s="1"/>
  <c r="S756" i="3"/>
  <c r="T756" i="3" s="1"/>
  <c r="S757" i="3"/>
  <c r="T757" i="3" s="1"/>
  <c r="S758" i="3"/>
  <c r="T758" i="3" s="1"/>
  <c r="S759" i="3"/>
  <c r="T759" i="3" s="1"/>
  <c r="S760" i="3"/>
  <c r="T760" i="3" s="1"/>
  <c r="S761" i="3"/>
  <c r="T761" i="3" s="1"/>
  <c r="S762" i="3"/>
  <c r="T762" i="3" s="1"/>
  <c r="S763" i="3"/>
  <c r="T763" i="3" s="1"/>
  <c r="S764" i="3"/>
  <c r="T764" i="3" s="1"/>
  <c r="S765" i="3"/>
  <c r="T765" i="3" s="1"/>
  <c r="S766" i="3"/>
  <c r="T766" i="3" s="1"/>
  <c r="S767" i="3"/>
  <c r="T767" i="3" s="1"/>
  <c r="S768" i="3"/>
  <c r="T768" i="3" s="1"/>
  <c r="S769" i="3"/>
  <c r="T769" i="3" s="1"/>
  <c r="S770" i="3"/>
  <c r="T770" i="3" s="1"/>
  <c r="S771" i="3"/>
  <c r="T771" i="3" s="1"/>
  <c r="S772" i="3"/>
  <c r="T772" i="3" s="1"/>
  <c r="S773" i="3"/>
  <c r="T773" i="3" s="1"/>
  <c r="S774" i="3"/>
  <c r="T774" i="3" s="1"/>
  <c r="S775" i="3"/>
  <c r="T775" i="3" s="1"/>
  <c r="S776" i="3"/>
  <c r="T776" i="3" s="1"/>
  <c r="S777" i="3"/>
  <c r="T777" i="3" s="1"/>
  <c r="S778" i="3"/>
  <c r="T778" i="3" s="1"/>
  <c r="S779" i="3"/>
  <c r="T779" i="3" s="1"/>
  <c r="S780" i="3"/>
  <c r="T780" i="3" s="1"/>
  <c r="S781" i="3"/>
  <c r="T781" i="3" s="1"/>
  <c r="S782" i="3"/>
  <c r="T782" i="3" s="1"/>
  <c r="S783" i="3"/>
  <c r="T783" i="3" s="1"/>
  <c r="S5" i="3"/>
  <c r="T5" i="3" s="1"/>
  <c r="C6" i="7"/>
  <c r="C7" i="7"/>
  <c r="C5" i="7"/>
  <c r="B7" i="7"/>
  <c r="B6" i="7"/>
  <c r="B5" i="7"/>
  <c r="F8" i="4" l="1"/>
  <c r="F10" i="4"/>
  <c r="F15" i="4"/>
  <c r="F16" i="4"/>
  <c r="F11" i="4"/>
  <c r="F14" i="4"/>
  <c r="F7" i="4"/>
  <c r="F12" i="4"/>
  <c r="F17" i="4"/>
  <c r="F6" i="4"/>
  <c r="F9" i="4"/>
  <c r="F13" i="4"/>
  <c r="F5" i="4"/>
  <c r="Q10" i="1"/>
  <c r="B11" i="4"/>
  <c r="C6" i="4" l="1"/>
  <c r="C7" i="4"/>
  <c r="C8" i="4"/>
  <c r="C9" i="4"/>
  <c r="C10" i="4"/>
  <c r="C11" i="4"/>
  <c r="C12" i="4"/>
  <c r="C13" i="4"/>
  <c r="C14" i="4"/>
  <c r="C15" i="4"/>
  <c r="C16" i="4"/>
  <c r="C17" i="4"/>
  <c r="C5" i="4"/>
  <c r="D5" i="4"/>
  <c r="D6" i="4" l="1"/>
  <c r="D7" i="4"/>
  <c r="D8" i="4"/>
  <c r="D9" i="4"/>
  <c r="D10" i="4"/>
  <c r="D11" i="4"/>
  <c r="D12" i="4"/>
  <c r="D13" i="4"/>
  <c r="D14" i="4"/>
  <c r="D15" i="4"/>
  <c r="D16" i="4"/>
  <c r="D17" i="4"/>
  <c r="B6" i="4"/>
  <c r="B7" i="4"/>
  <c r="B8" i="4"/>
  <c r="B9" i="4"/>
  <c r="B10" i="4"/>
  <c r="B12" i="4"/>
  <c r="B13" i="4"/>
  <c r="B14" i="4"/>
  <c r="B15" i="4"/>
  <c r="B16" i="4"/>
  <c r="B17" i="4"/>
  <c r="B5" i="4"/>
  <c r="E13" i="4" l="1"/>
  <c r="E12" i="4"/>
  <c r="E15" i="4"/>
  <c r="E11" i="4"/>
  <c r="E7" i="4"/>
  <c r="E17" i="4"/>
  <c r="E9" i="4"/>
  <c r="E16" i="4"/>
  <c r="E8" i="4"/>
  <c r="E14" i="4"/>
  <c r="E10" i="4"/>
  <c r="E6" i="4"/>
  <c r="E5" i="4"/>
  <c r="B13" i="10"/>
  <c r="K9" i="1" s="1"/>
  <c r="B12" i="10"/>
  <c r="B7" i="10"/>
  <c r="A9" i="1" s="1"/>
  <c r="K5" i="1"/>
  <c r="B5" i="10"/>
  <c r="A5" i="1" s="1"/>
  <c r="J17" i="1"/>
  <c r="I17" i="1"/>
  <c r="J16" i="1"/>
  <c r="I16" i="1"/>
  <c r="J15" i="1"/>
  <c r="I15" i="1"/>
  <c r="Q17" i="1"/>
  <c r="Q16" i="1"/>
  <c r="Q15" i="1"/>
  <c r="D8" i="5"/>
  <c r="C8" i="5"/>
  <c r="J45" i="1" s="1"/>
  <c r="B8" i="5"/>
  <c r="I45" i="1" s="1"/>
  <c r="D7" i="5"/>
  <c r="C7" i="5"/>
  <c r="J44" i="1" s="1"/>
  <c r="B7" i="5"/>
  <c r="I44" i="1" s="1"/>
  <c r="D6" i="5"/>
  <c r="C6" i="5"/>
  <c r="J43" i="1" s="1"/>
  <c r="B6" i="5"/>
  <c r="I43" i="1" s="1"/>
  <c r="D5" i="5"/>
  <c r="C5" i="5"/>
  <c r="J42" i="1" s="1"/>
  <c r="B5" i="5"/>
  <c r="I42" i="1" s="1"/>
  <c r="W783" i="3"/>
  <c r="V783" i="3"/>
  <c r="U783" i="3"/>
  <c r="R783" i="3"/>
  <c r="W782" i="3"/>
  <c r="V782" i="3"/>
  <c r="U782" i="3"/>
  <c r="R782" i="3"/>
  <c r="W781" i="3"/>
  <c r="V781" i="3"/>
  <c r="U781" i="3"/>
  <c r="R781" i="3"/>
  <c r="W780" i="3"/>
  <c r="V780" i="3"/>
  <c r="U780" i="3"/>
  <c r="R780" i="3"/>
  <c r="W779" i="3"/>
  <c r="V779" i="3"/>
  <c r="U779" i="3"/>
  <c r="R779" i="3"/>
  <c r="W778" i="3"/>
  <c r="V778" i="3"/>
  <c r="U778" i="3"/>
  <c r="R778" i="3"/>
  <c r="W777" i="3"/>
  <c r="V777" i="3"/>
  <c r="U777" i="3"/>
  <c r="R777" i="3"/>
  <c r="W776" i="3"/>
  <c r="V776" i="3"/>
  <c r="U776" i="3"/>
  <c r="R776" i="3"/>
  <c r="W775" i="3"/>
  <c r="V775" i="3"/>
  <c r="U775" i="3"/>
  <c r="R775" i="3"/>
  <c r="W774" i="3"/>
  <c r="V774" i="3"/>
  <c r="U774" i="3"/>
  <c r="R774" i="3"/>
  <c r="W773" i="3"/>
  <c r="V773" i="3"/>
  <c r="U773" i="3"/>
  <c r="R773" i="3"/>
  <c r="W772" i="3"/>
  <c r="V772" i="3"/>
  <c r="U772" i="3"/>
  <c r="R772" i="3"/>
  <c r="W771" i="3"/>
  <c r="V771" i="3"/>
  <c r="U771" i="3"/>
  <c r="R771" i="3"/>
  <c r="W770" i="3"/>
  <c r="V770" i="3"/>
  <c r="R770" i="3"/>
  <c r="W769" i="3"/>
  <c r="V769" i="3"/>
  <c r="R769" i="3"/>
  <c r="W768" i="3"/>
  <c r="V768" i="3"/>
  <c r="R768" i="3"/>
  <c r="W767" i="3"/>
  <c r="V767" i="3"/>
  <c r="R767" i="3"/>
  <c r="W766" i="3"/>
  <c r="V766" i="3"/>
  <c r="R766" i="3"/>
  <c r="W765" i="3"/>
  <c r="V765" i="3"/>
  <c r="R765" i="3"/>
  <c r="W764" i="3"/>
  <c r="V764" i="3"/>
  <c r="R764" i="3"/>
  <c r="W763" i="3"/>
  <c r="V763" i="3"/>
  <c r="R763" i="3"/>
  <c r="W762" i="3"/>
  <c r="V762" i="3"/>
  <c r="R762" i="3"/>
  <c r="W761" i="3"/>
  <c r="V761" i="3"/>
  <c r="R761" i="3"/>
  <c r="W760" i="3"/>
  <c r="V760" i="3"/>
  <c r="R760" i="3"/>
  <c r="W759" i="3"/>
  <c r="V759" i="3"/>
  <c r="R759" i="3"/>
  <c r="W758" i="3"/>
  <c r="V758" i="3"/>
  <c r="R758" i="3"/>
  <c r="W757" i="3"/>
  <c r="V757" i="3"/>
  <c r="U757" i="3"/>
  <c r="R757" i="3"/>
  <c r="W756" i="3"/>
  <c r="V756" i="3"/>
  <c r="U756" i="3"/>
  <c r="R756" i="3"/>
  <c r="W755" i="3"/>
  <c r="V755" i="3"/>
  <c r="U755" i="3"/>
  <c r="R755" i="3"/>
  <c r="W754" i="3"/>
  <c r="V754" i="3"/>
  <c r="U754" i="3"/>
  <c r="R754" i="3"/>
  <c r="W753" i="3"/>
  <c r="V753" i="3"/>
  <c r="U753" i="3"/>
  <c r="R753" i="3"/>
  <c r="W752" i="3"/>
  <c r="V752" i="3"/>
  <c r="U752" i="3"/>
  <c r="R752" i="3"/>
  <c r="W751" i="3"/>
  <c r="V751" i="3"/>
  <c r="U751" i="3"/>
  <c r="R751" i="3"/>
  <c r="W750" i="3"/>
  <c r="V750" i="3"/>
  <c r="U750" i="3"/>
  <c r="R750" i="3"/>
  <c r="W749" i="3"/>
  <c r="V749" i="3"/>
  <c r="U749" i="3"/>
  <c r="R749" i="3"/>
  <c r="W748" i="3"/>
  <c r="V748" i="3"/>
  <c r="U748" i="3"/>
  <c r="R748" i="3"/>
  <c r="W747" i="3"/>
  <c r="V747" i="3"/>
  <c r="U747" i="3"/>
  <c r="R747" i="3"/>
  <c r="W746" i="3"/>
  <c r="V746" i="3"/>
  <c r="U746" i="3"/>
  <c r="R746" i="3"/>
  <c r="W745" i="3"/>
  <c r="V745" i="3"/>
  <c r="U745" i="3"/>
  <c r="R745" i="3"/>
  <c r="W744" i="3"/>
  <c r="V744" i="3"/>
  <c r="U744" i="3"/>
  <c r="R744" i="3"/>
  <c r="W743" i="3"/>
  <c r="V743" i="3"/>
  <c r="U743" i="3"/>
  <c r="R743" i="3"/>
  <c r="W742" i="3"/>
  <c r="V742" i="3"/>
  <c r="U742" i="3"/>
  <c r="R742" i="3"/>
  <c r="W741" i="3"/>
  <c r="V741" i="3"/>
  <c r="U741" i="3"/>
  <c r="R741" i="3"/>
  <c r="W740" i="3"/>
  <c r="V740" i="3"/>
  <c r="U740" i="3"/>
  <c r="R740" i="3"/>
  <c r="W739" i="3"/>
  <c r="V739" i="3"/>
  <c r="U739" i="3"/>
  <c r="R739" i="3"/>
  <c r="W738" i="3"/>
  <c r="V738" i="3"/>
  <c r="U738" i="3"/>
  <c r="R738" i="3"/>
  <c r="W737" i="3"/>
  <c r="V737" i="3"/>
  <c r="U737" i="3"/>
  <c r="R737" i="3"/>
  <c r="W736" i="3"/>
  <c r="V736" i="3"/>
  <c r="U736" i="3"/>
  <c r="R736" i="3"/>
  <c r="W735" i="3"/>
  <c r="V735" i="3"/>
  <c r="U735" i="3"/>
  <c r="R735" i="3"/>
  <c r="W734" i="3"/>
  <c r="V734" i="3"/>
  <c r="U734" i="3"/>
  <c r="R734" i="3"/>
  <c r="W733" i="3"/>
  <c r="V733" i="3"/>
  <c r="U733" i="3"/>
  <c r="R733" i="3"/>
  <c r="W732" i="3"/>
  <c r="V732" i="3"/>
  <c r="U732" i="3"/>
  <c r="R732" i="3"/>
  <c r="W731" i="3"/>
  <c r="V731" i="3"/>
  <c r="U731" i="3"/>
  <c r="R731" i="3"/>
  <c r="W730" i="3"/>
  <c r="V730" i="3"/>
  <c r="U730" i="3"/>
  <c r="R730" i="3"/>
  <c r="W729" i="3"/>
  <c r="V729" i="3"/>
  <c r="U729" i="3"/>
  <c r="R729" i="3"/>
  <c r="W728" i="3"/>
  <c r="V728" i="3"/>
  <c r="U728" i="3"/>
  <c r="R728" i="3"/>
  <c r="W727" i="3"/>
  <c r="V727" i="3"/>
  <c r="U727" i="3"/>
  <c r="R727" i="3"/>
  <c r="W726" i="3"/>
  <c r="V726" i="3"/>
  <c r="U726" i="3"/>
  <c r="R726" i="3"/>
  <c r="W725" i="3"/>
  <c r="V725" i="3"/>
  <c r="U725" i="3"/>
  <c r="R725" i="3"/>
  <c r="W724" i="3"/>
  <c r="V724" i="3"/>
  <c r="U724" i="3"/>
  <c r="R724" i="3"/>
  <c r="W723" i="3"/>
  <c r="V723" i="3"/>
  <c r="U723" i="3"/>
  <c r="R723" i="3"/>
  <c r="W722" i="3"/>
  <c r="V722" i="3"/>
  <c r="U722" i="3"/>
  <c r="R722" i="3"/>
  <c r="W721" i="3"/>
  <c r="V721" i="3"/>
  <c r="U721" i="3"/>
  <c r="R721" i="3"/>
  <c r="W720" i="3"/>
  <c r="V720" i="3"/>
  <c r="U720" i="3"/>
  <c r="R720" i="3"/>
  <c r="W719" i="3"/>
  <c r="V719" i="3"/>
  <c r="U719" i="3"/>
  <c r="R719" i="3"/>
  <c r="W718" i="3"/>
  <c r="V718" i="3"/>
  <c r="U718" i="3"/>
  <c r="R718" i="3"/>
  <c r="W717" i="3"/>
  <c r="V717" i="3"/>
  <c r="U717" i="3"/>
  <c r="R717" i="3"/>
  <c r="W716" i="3"/>
  <c r="V716" i="3"/>
  <c r="U716" i="3"/>
  <c r="R716" i="3"/>
  <c r="W715" i="3"/>
  <c r="V715" i="3"/>
  <c r="U715" i="3"/>
  <c r="R715" i="3"/>
  <c r="W714" i="3"/>
  <c r="V714" i="3"/>
  <c r="U714" i="3"/>
  <c r="R714" i="3"/>
  <c r="W713" i="3"/>
  <c r="V713" i="3"/>
  <c r="U713" i="3"/>
  <c r="R713" i="3"/>
  <c r="W712" i="3"/>
  <c r="V712" i="3"/>
  <c r="U712" i="3"/>
  <c r="R712" i="3"/>
  <c r="W711" i="3"/>
  <c r="V711" i="3"/>
  <c r="U711" i="3"/>
  <c r="R711" i="3"/>
  <c r="W710" i="3"/>
  <c r="V710" i="3"/>
  <c r="U710" i="3"/>
  <c r="R710" i="3"/>
  <c r="W709" i="3"/>
  <c r="V709" i="3"/>
  <c r="U709" i="3"/>
  <c r="R709" i="3"/>
  <c r="W708" i="3"/>
  <c r="V708" i="3"/>
  <c r="U708" i="3"/>
  <c r="R708" i="3"/>
  <c r="W707" i="3"/>
  <c r="V707" i="3"/>
  <c r="U707" i="3"/>
  <c r="R707" i="3"/>
  <c r="W706" i="3"/>
  <c r="V706" i="3"/>
  <c r="U706" i="3"/>
  <c r="R706" i="3"/>
  <c r="W705" i="3"/>
  <c r="V705" i="3"/>
  <c r="U705" i="3"/>
  <c r="R705" i="3"/>
  <c r="W704" i="3"/>
  <c r="V704" i="3"/>
  <c r="U704" i="3"/>
  <c r="R704" i="3"/>
  <c r="W703" i="3"/>
  <c r="V703" i="3"/>
  <c r="U703" i="3"/>
  <c r="R703" i="3"/>
  <c r="W702" i="3"/>
  <c r="V702" i="3"/>
  <c r="U702" i="3"/>
  <c r="R702" i="3"/>
  <c r="W701" i="3"/>
  <c r="V701" i="3"/>
  <c r="U701" i="3"/>
  <c r="R701" i="3"/>
  <c r="W700" i="3"/>
  <c r="V700" i="3"/>
  <c r="U700" i="3"/>
  <c r="R700" i="3"/>
  <c r="W699" i="3"/>
  <c r="V699" i="3"/>
  <c r="U699" i="3"/>
  <c r="R699" i="3"/>
  <c r="W698" i="3"/>
  <c r="V698" i="3"/>
  <c r="U698" i="3"/>
  <c r="R698" i="3"/>
  <c r="W697" i="3"/>
  <c r="V697" i="3"/>
  <c r="U697" i="3"/>
  <c r="R697" i="3"/>
  <c r="W696" i="3"/>
  <c r="V696" i="3"/>
  <c r="U696" i="3"/>
  <c r="R696" i="3"/>
  <c r="W695" i="3"/>
  <c r="V695" i="3"/>
  <c r="U695" i="3"/>
  <c r="R695" i="3"/>
  <c r="W694" i="3"/>
  <c r="V694" i="3"/>
  <c r="U694" i="3"/>
  <c r="R694" i="3"/>
  <c r="W693" i="3"/>
  <c r="V693" i="3"/>
  <c r="U693" i="3"/>
  <c r="R693" i="3"/>
  <c r="W692" i="3"/>
  <c r="V692" i="3"/>
  <c r="U692" i="3"/>
  <c r="R692" i="3"/>
  <c r="W691" i="3"/>
  <c r="V691" i="3"/>
  <c r="U691" i="3"/>
  <c r="R691" i="3"/>
  <c r="W690" i="3"/>
  <c r="V690" i="3"/>
  <c r="U690" i="3"/>
  <c r="R690" i="3"/>
  <c r="W689" i="3"/>
  <c r="V689" i="3"/>
  <c r="U689" i="3"/>
  <c r="R689" i="3"/>
  <c r="W688" i="3"/>
  <c r="V688" i="3"/>
  <c r="U688" i="3"/>
  <c r="R688" i="3"/>
  <c r="W687" i="3"/>
  <c r="V687" i="3"/>
  <c r="U687" i="3"/>
  <c r="R687" i="3"/>
  <c r="W686" i="3"/>
  <c r="V686" i="3"/>
  <c r="U686" i="3"/>
  <c r="R686" i="3"/>
  <c r="W685" i="3"/>
  <c r="V685" i="3"/>
  <c r="U685" i="3"/>
  <c r="R685" i="3"/>
  <c r="W684" i="3"/>
  <c r="V684" i="3"/>
  <c r="U684" i="3"/>
  <c r="R684" i="3"/>
  <c r="W683" i="3"/>
  <c r="V683" i="3"/>
  <c r="U683" i="3"/>
  <c r="R683" i="3"/>
  <c r="W682" i="3"/>
  <c r="V682" i="3"/>
  <c r="U682" i="3"/>
  <c r="R682" i="3"/>
  <c r="W681" i="3"/>
  <c r="V681" i="3"/>
  <c r="U681" i="3"/>
  <c r="R681" i="3"/>
  <c r="W680" i="3"/>
  <c r="V680" i="3"/>
  <c r="U680" i="3"/>
  <c r="R680" i="3"/>
  <c r="W679" i="3"/>
  <c r="V679" i="3"/>
  <c r="U679" i="3"/>
  <c r="R679" i="3"/>
  <c r="W678" i="3"/>
  <c r="V678" i="3"/>
  <c r="U678" i="3"/>
  <c r="R678" i="3"/>
  <c r="W677" i="3"/>
  <c r="V677" i="3"/>
  <c r="U677" i="3"/>
  <c r="R677" i="3"/>
  <c r="W676" i="3"/>
  <c r="V676" i="3"/>
  <c r="U676" i="3"/>
  <c r="R676" i="3"/>
  <c r="W675" i="3"/>
  <c r="V675" i="3"/>
  <c r="U675" i="3"/>
  <c r="R675" i="3"/>
  <c r="W674" i="3"/>
  <c r="V674" i="3"/>
  <c r="U674" i="3"/>
  <c r="R674" i="3"/>
  <c r="W673" i="3"/>
  <c r="V673" i="3"/>
  <c r="U673" i="3"/>
  <c r="R673" i="3"/>
  <c r="W672" i="3"/>
  <c r="V672" i="3"/>
  <c r="U672" i="3"/>
  <c r="R672" i="3"/>
  <c r="W671" i="3"/>
  <c r="V671" i="3"/>
  <c r="U671" i="3"/>
  <c r="R671" i="3"/>
  <c r="W670" i="3"/>
  <c r="V670" i="3"/>
  <c r="U670" i="3"/>
  <c r="R670" i="3"/>
  <c r="W669" i="3"/>
  <c r="V669" i="3"/>
  <c r="U669" i="3"/>
  <c r="R669" i="3"/>
  <c r="W668" i="3"/>
  <c r="V668" i="3"/>
  <c r="U668" i="3"/>
  <c r="R668" i="3"/>
  <c r="W667" i="3"/>
  <c r="V667" i="3"/>
  <c r="U667" i="3"/>
  <c r="R667" i="3"/>
  <c r="W666" i="3"/>
  <c r="V666" i="3"/>
  <c r="U666" i="3"/>
  <c r="R666" i="3"/>
  <c r="W665" i="3"/>
  <c r="V665" i="3"/>
  <c r="U665" i="3"/>
  <c r="R665" i="3"/>
  <c r="W664" i="3"/>
  <c r="V664" i="3"/>
  <c r="U664" i="3"/>
  <c r="R664" i="3"/>
  <c r="W663" i="3"/>
  <c r="V663" i="3"/>
  <c r="U663" i="3"/>
  <c r="R663" i="3"/>
  <c r="W662" i="3"/>
  <c r="V662" i="3"/>
  <c r="U662" i="3"/>
  <c r="R662" i="3"/>
  <c r="W661" i="3"/>
  <c r="V661" i="3"/>
  <c r="U661" i="3"/>
  <c r="R661" i="3"/>
  <c r="W660" i="3"/>
  <c r="V660" i="3"/>
  <c r="U660" i="3"/>
  <c r="R660" i="3"/>
  <c r="W659" i="3"/>
  <c r="V659" i="3"/>
  <c r="U659" i="3"/>
  <c r="R659" i="3"/>
  <c r="W658" i="3"/>
  <c r="V658" i="3"/>
  <c r="U658" i="3"/>
  <c r="R658" i="3"/>
  <c r="W657" i="3"/>
  <c r="V657" i="3"/>
  <c r="U657" i="3"/>
  <c r="R657" i="3"/>
  <c r="W656" i="3"/>
  <c r="V656" i="3"/>
  <c r="U656" i="3"/>
  <c r="R656" i="3"/>
  <c r="W655" i="3"/>
  <c r="V655" i="3"/>
  <c r="U655" i="3"/>
  <c r="R655" i="3"/>
  <c r="W654" i="3"/>
  <c r="V654" i="3"/>
  <c r="U654" i="3"/>
  <c r="R654" i="3"/>
  <c r="W653" i="3"/>
  <c r="V653" i="3"/>
  <c r="U653" i="3"/>
  <c r="R653" i="3"/>
  <c r="W652" i="3"/>
  <c r="V652" i="3"/>
  <c r="U652" i="3"/>
  <c r="R652" i="3"/>
  <c r="W651" i="3"/>
  <c r="V651" i="3"/>
  <c r="U651" i="3"/>
  <c r="R651" i="3"/>
  <c r="W650" i="3"/>
  <c r="V650" i="3"/>
  <c r="U650" i="3"/>
  <c r="R650" i="3"/>
  <c r="W649" i="3"/>
  <c r="V649" i="3"/>
  <c r="U649" i="3"/>
  <c r="R649" i="3"/>
  <c r="W648" i="3"/>
  <c r="V648" i="3"/>
  <c r="U648" i="3"/>
  <c r="R648" i="3"/>
  <c r="W647" i="3"/>
  <c r="V647" i="3"/>
  <c r="U647" i="3"/>
  <c r="R647" i="3"/>
  <c r="W646" i="3"/>
  <c r="V646" i="3"/>
  <c r="U646" i="3"/>
  <c r="R646" i="3"/>
  <c r="W645" i="3"/>
  <c r="V645" i="3"/>
  <c r="U645" i="3"/>
  <c r="R645" i="3"/>
  <c r="W644" i="3"/>
  <c r="V644" i="3"/>
  <c r="U644" i="3"/>
  <c r="R644" i="3"/>
  <c r="W643" i="3"/>
  <c r="V643" i="3"/>
  <c r="U643" i="3"/>
  <c r="R643" i="3"/>
  <c r="W642" i="3"/>
  <c r="V642" i="3"/>
  <c r="U642" i="3"/>
  <c r="R642" i="3"/>
  <c r="W641" i="3"/>
  <c r="V641" i="3"/>
  <c r="U641" i="3"/>
  <c r="R641" i="3"/>
  <c r="W640" i="3"/>
  <c r="V640" i="3"/>
  <c r="U640" i="3"/>
  <c r="R640" i="3"/>
  <c r="W639" i="3"/>
  <c r="V639" i="3"/>
  <c r="U639" i="3"/>
  <c r="R639" i="3"/>
  <c r="W638" i="3"/>
  <c r="V638" i="3"/>
  <c r="U638" i="3"/>
  <c r="R638" i="3"/>
  <c r="W637" i="3"/>
  <c r="V637" i="3"/>
  <c r="U637" i="3"/>
  <c r="R637" i="3"/>
  <c r="W636" i="3"/>
  <c r="V636" i="3"/>
  <c r="U636" i="3"/>
  <c r="R636" i="3"/>
  <c r="W635" i="3"/>
  <c r="V635" i="3"/>
  <c r="U635" i="3"/>
  <c r="R635" i="3"/>
  <c r="W634" i="3"/>
  <c r="V634" i="3"/>
  <c r="U634" i="3"/>
  <c r="R634" i="3"/>
  <c r="W633" i="3"/>
  <c r="V633" i="3"/>
  <c r="U633" i="3"/>
  <c r="R633" i="3"/>
  <c r="W632" i="3"/>
  <c r="V632" i="3"/>
  <c r="U632" i="3"/>
  <c r="R632" i="3"/>
  <c r="W631" i="3"/>
  <c r="V631" i="3"/>
  <c r="U631" i="3"/>
  <c r="R631" i="3"/>
  <c r="W630" i="3"/>
  <c r="V630" i="3"/>
  <c r="U630" i="3"/>
  <c r="R630" i="3"/>
  <c r="W629" i="3"/>
  <c r="V629" i="3"/>
  <c r="U629" i="3"/>
  <c r="R629" i="3"/>
  <c r="W628" i="3"/>
  <c r="V628" i="3"/>
  <c r="U628" i="3"/>
  <c r="R628" i="3"/>
  <c r="W627" i="3"/>
  <c r="V627" i="3"/>
  <c r="U627" i="3"/>
  <c r="R627" i="3"/>
  <c r="W626" i="3"/>
  <c r="V626" i="3"/>
  <c r="U626" i="3"/>
  <c r="R626" i="3"/>
  <c r="W625" i="3"/>
  <c r="V625" i="3"/>
  <c r="U625" i="3"/>
  <c r="R625" i="3"/>
  <c r="W624" i="3"/>
  <c r="V624" i="3"/>
  <c r="U624" i="3"/>
  <c r="R624" i="3"/>
  <c r="W623" i="3"/>
  <c r="V623" i="3"/>
  <c r="U623" i="3"/>
  <c r="R623" i="3"/>
  <c r="W622" i="3"/>
  <c r="V622" i="3"/>
  <c r="U622" i="3"/>
  <c r="R622" i="3"/>
  <c r="W621" i="3"/>
  <c r="V621" i="3"/>
  <c r="U621" i="3"/>
  <c r="R621" i="3"/>
  <c r="W620" i="3"/>
  <c r="V620" i="3"/>
  <c r="U620" i="3"/>
  <c r="R620" i="3"/>
  <c r="W619" i="3"/>
  <c r="V619" i="3"/>
  <c r="U619" i="3"/>
  <c r="R619" i="3"/>
  <c r="W618" i="3"/>
  <c r="V618" i="3"/>
  <c r="U618" i="3"/>
  <c r="R618" i="3"/>
  <c r="W617" i="3"/>
  <c r="V617" i="3"/>
  <c r="U617" i="3"/>
  <c r="R617" i="3"/>
  <c r="W616" i="3"/>
  <c r="V616" i="3"/>
  <c r="U616" i="3"/>
  <c r="R616" i="3"/>
  <c r="W615" i="3"/>
  <c r="V615" i="3"/>
  <c r="U615" i="3"/>
  <c r="R615" i="3"/>
  <c r="W614" i="3"/>
  <c r="V614" i="3"/>
  <c r="U614" i="3"/>
  <c r="R614" i="3"/>
  <c r="W613" i="3"/>
  <c r="V613" i="3"/>
  <c r="U613" i="3"/>
  <c r="R613" i="3"/>
  <c r="W612" i="3"/>
  <c r="V612" i="3"/>
  <c r="U612" i="3"/>
  <c r="R612" i="3"/>
  <c r="W611" i="3"/>
  <c r="V611" i="3"/>
  <c r="U611" i="3"/>
  <c r="R611" i="3"/>
  <c r="W610" i="3"/>
  <c r="V610" i="3"/>
  <c r="U610" i="3"/>
  <c r="R610" i="3"/>
  <c r="W609" i="3"/>
  <c r="V609" i="3"/>
  <c r="U609" i="3"/>
  <c r="R609" i="3"/>
  <c r="W608" i="3"/>
  <c r="V608" i="3"/>
  <c r="U608" i="3"/>
  <c r="R608" i="3"/>
  <c r="W607" i="3"/>
  <c r="V607" i="3"/>
  <c r="U607" i="3"/>
  <c r="R607" i="3"/>
  <c r="W606" i="3"/>
  <c r="V606" i="3"/>
  <c r="U606" i="3"/>
  <c r="R606" i="3"/>
  <c r="W605" i="3"/>
  <c r="V605" i="3"/>
  <c r="U605" i="3"/>
  <c r="R605" i="3"/>
  <c r="W604" i="3"/>
  <c r="V604" i="3"/>
  <c r="U604" i="3"/>
  <c r="R604" i="3"/>
  <c r="W603" i="3"/>
  <c r="V603" i="3"/>
  <c r="U603" i="3"/>
  <c r="R603" i="3"/>
  <c r="W602" i="3"/>
  <c r="V602" i="3"/>
  <c r="U602" i="3"/>
  <c r="R602" i="3"/>
  <c r="W601" i="3"/>
  <c r="V601" i="3"/>
  <c r="U601" i="3"/>
  <c r="R601" i="3"/>
  <c r="W600" i="3"/>
  <c r="V600" i="3"/>
  <c r="U600" i="3"/>
  <c r="R600" i="3"/>
  <c r="W599" i="3"/>
  <c r="V599" i="3"/>
  <c r="U599" i="3"/>
  <c r="R599" i="3"/>
  <c r="W598" i="3"/>
  <c r="V598" i="3"/>
  <c r="U598" i="3"/>
  <c r="R598" i="3"/>
  <c r="W597" i="3"/>
  <c r="V597" i="3"/>
  <c r="U597" i="3"/>
  <c r="R597" i="3"/>
  <c r="W596" i="3"/>
  <c r="V596" i="3"/>
  <c r="U596" i="3"/>
  <c r="R596" i="3"/>
  <c r="W595" i="3"/>
  <c r="V595" i="3"/>
  <c r="U595" i="3"/>
  <c r="R595" i="3"/>
  <c r="W594" i="3"/>
  <c r="V594" i="3"/>
  <c r="U594" i="3"/>
  <c r="R594" i="3"/>
  <c r="W593" i="3"/>
  <c r="V593" i="3"/>
  <c r="U593" i="3"/>
  <c r="R593" i="3"/>
  <c r="W592" i="3"/>
  <c r="V592" i="3"/>
  <c r="U592" i="3"/>
  <c r="R592" i="3"/>
  <c r="W591" i="3"/>
  <c r="V591" i="3"/>
  <c r="U591" i="3"/>
  <c r="R591" i="3"/>
  <c r="W590" i="3"/>
  <c r="V590" i="3"/>
  <c r="U590" i="3"/>
  <c r="R590" i="3"/>
  <c r="W589" i="3"/>
  <c r="V589" i="3"/>
  <c r="U589" i="3"/>
  <c r="R589" i="3"/>
  <c r="W588" i="3"/>
  <c r="V588" i="3"/>
  <c r="U588" i="3"/>
  <c r="R588" i="3"/>
  <c r="W587" i="3"/>
  <c r="V587" i="3"/>
  <c r="U587" i="3"/>
  <c r="R587" i="3"/>
  <c r="W586" i="3"/>
  <c r="V586" i="3"/>
  <c r="U586" i="3"/>
  <c r="R586" i="3"/>
  <c r="W585" i="3"/>
  <c r="V585" i="3"/>
  <c r="U585" i="3"/>
  <c r="R585" i="3"/>
  <c r="W584" i="3"/>
  <c r="V584" i="3"/>
  <c r="U584" i="3"/>
  <c r="R584" i="3"/>
  <c r="W583" i="3"/>
  <c r="V583" i="3"/>
  <c r="U583" i="3"/>
  <c r="R583" i="3"/>
  <c r="W582" i="3"/>
  <c r="V582" i="3"/>
  <c r="U582" i="3"/>
  <c r="R582" i="3"/>
  <c r="W581" i="3"/>
  <c r="V581" i="3"/>
  <c r="U581" i="3"/>
  <c r="R581" i="3"/>
  <c r="W580" i="3"/>
  <c r="V580" i="3"/>
  <c r="U580" i="3"/>
  <c r="R580" i="3"/>
  <c r="W579" i="3"/>
  <c r="V579" i="3"/>
  <c r="U579" i="3"/>
  <c r="R579" i="3"/>
  <c r="W578" i="3"/>
  <c r="V578" i="3"/>
  <c r="U578" i="3"/>
  <c r="R578" i="3"/>
  <c r="W577" i="3"/>
  <c r="V577" i="3"/>
  <c r="U577" i="3"/>
  <c r="R577" i="3"/>
  <c r="W576" i="3"/>
  <c r="V576" i="3"/>
  <c r="U576" i="3"/>
  <c r="R576" i="3"/>
  <c r="W575" i="3"/>
  <c r="V575" i="3"/>
  <c r="U575" i="3"/>
  <c r="R575" i="3"/>
  <c r="W574" i="3"/>
  <c r="V574" i="3"/>
  <c r="U574" i="3"/>
  <c r="R574" i="3"/>
  <c r="W573" i="3"/>
  <c r="V573" i="3"/>
  <c r="U573" i="3"/>
  <c r="R573" i="3"/>
  <c r="W572" i="3"/>
  <c r="V572" i="3"/>
  <c r="U572" i="3"/>
  <c r="R572" i="3"/>
  <c r="W571" i="3"/>
  <c r="V571" i="3"/>
  <c r="U571" i="3"/>
  <c r="R571" i="3"/>
  <c r="W570" i="3"/>
  <c r="V570" i="3"/>
  <c r="U570" i="3"/>
  <c r="R570" i="3"/>
  <c r="W569" i="3"/>
  <c r="V569" i="3"/>
  <c r="U569" i="3"/>
  <c r="R569" i="3"/>
  <c r="W568" i="3"/>
  <c r="V568" i="3"/>
  <c r="U568" i="3"/>
  <c r="R568" i="3"/>
  <c r="W567" i="3"/>
  <c r="V567" i="3"/>
  <c r="U567" i="3"/>
  <c r="R567" i="3"/>
  <c r="W566" i="3"/>
  <c r="V566" i="3"/>
  <c r="U566" i="3"/>
  <c r="R566" i="3"/>
  <c r="W565" i="3"/>
  <c r="V565" i="3"/>
  <c r="U565" i="3"/>
  <c r="R565" i="3"/>
  <c r="W564" i="3"/>
  <c r="V564" i="3"/>
  <c r="U564" i="3"/>
  <c r="R564" i="3"/>
  <c r="W563" i="3"/>
  <c r="V563" i="3"/>
  <c r="U563" i="3"/>
  <c r="R563" i="3"/>
  <c r="W562" i="3"/>
  <c r="V562" i="3"/>
  <c r="U562" i="3"/>
  <c r="R562" i="3"/>
  <c r="W561" i="3"/>
  <c r="V561" i="3"/>
  <c r="U561" i="3"/>
  <c r="R561" i="3"/>
  <c r="W560" i="3"/>
  <c r="V560" i="3"/>
  <c r="U560" i="3"/>
  <c r="R560" i="3"/>
  <c r="W559" i="3"/>
  <c r="V559" i="3"/>
  <c r="U559" i="3"/>
  <c r="R559" i="3"/>
  <c r="W558" i="3"/>
  <c r="V558" i="3"/>
  <c r="U558" i="3"/>
  <c r="R558" i="3"/>
  <c r="W557" i="3"/>
  <c r="V557" i="3"/>
  <c r="U557" i="3"/>
  <c r="R557" i="3"/>
  <c r="W556" i="3"/>
  <c r="V556" i="3"/>
  <c r="U556" i="3"/>
  <c r="R556" i="3"/>
  <c r="W555" i="3"/>
  <c r="V555" i="3"/>
  <c r="U555" i="3"/>
  <c r="R555" i="3"/>
  <c r="W554" i="3"/>
  <c r="V554" i="3"/>
  <c r="U554" i="3"/>
  <c r="R554" i="3"/>
  <c r="W553" i="3"/>
  <c r="V553" i="3"/>
  <c r="U553" i="3"/>
  <c r="R553" i="3"/>
  <c r="W552" i="3"/>
  <c r="V552" i="3"/>
  <c r="U552" i="3"/>
  <c r="R552" i="3"/>
  <c r="W551" i="3"/>
  <c r="V551" i="3"/>
  <c r="U551" i="3"/>
  <c r="R551" i="3"/>
  <c r="W550" i="3"/>
  <c r="V550" i="3"/>
  <c r="U550" i="3"/>
  <c r="R550" i="3"/>
  <c r="W549" i="3"/>
  <c r="V549" i="3"/>
  <c r="U549" i="3"/>
  <c r="R549" i="3"/>
  <c r="W548" i="3"/>
  <c r="V548" i="3"/>
  <c r="U548" i="3"/>
  <c r="R548" i="3"/>
  <c r="W547" i="3"/>
  <c r="V547" i="3"/>
  <c r="U547" i="3"/>
  <c r="R547" i="3"/>
  <c r="W546" i="3"/>
  <c r="V546" i="3"/>
  <c r="U546" i="3"/>
  <c r="R546" i="3"/>
  <c r="W545" i="3"/>
  <c r="V545" i="3"/>
  <c r="U545" i="3"/>
  <c r="R545" i="3"/>
  <c r="W544" i="3"/>
  <c r="V544" i="3"/>
  <c r="U544" i="3"/>
  <c r="R544" i="3"/>
  <c r="W543" i="3"/>
  <c r="V543" i="3"/>
  <c r="U543" i="3"/>
  <c r="R543" i="3"/>
  <c r="W542" i="3"/>
  <c r="V542" i="3"/>
  <c r="U542" i="3"/>
  <c r="R542" i="3"/>
  <c r="W541" i="3"/>
  <c r="V541" i="3"/>
  <c r="U541" i="3"/>
  <c r="R541" i="3"/>
  <c r="W540" i="3"/>
  <c r="V540" i="3"/>
  <c r="U540" i="3"/>
  <c r="R540" i="3"/>
  <c r="W539" i="3"/>
  <c r="V539" i="3"/>
  <c r="U539" i="3"/>
  <c r="R539" i="3"/>
  <c r="W538" i="3"/>
  <c r="V538" i="3"/>
  <c r="U538" i="3"/>
  <c r="R538" i="3"/>
  <c r="W537" i="3"/>
  <c r="V537" i="3"/>
  <c r="U537" i="3"/>
  <c r="R537" i="3"/>
  <c r="W536" i="3"/>
  <c r="V536" i="3"/>
  <c r="U536" i="3"/>
  <c r="R536" i="3"/>
  <c r="W535" i="3"/>
  <c r="V535" i="3"/>
  <c r="U535" i="3"/>
  <c r="R535" i="3"/>
  <c r="W534" i="3"/>
  <c r="V534" i="3"/>
  <c r="U534" i="3"/>
  <c r="R534" i="3"/>
  <c r="W533" i="3"/>
  <c r="V533" i="3"/>
  <c r="U533" i="3"/>
  <c r="R533" i="3"/>
  <c r="W532" i="3"/>
  <c r="V532" i="3"/>
  <c r="U532" i="3"/>
  <c r="R532" i="3"/>
  <c r="W531" i="3"/>
  <c r="V531" i="3"/>
  <c r="U531" i="3"/>
  <c r="R531" i="3"/>
  <c r="W530" i="3"/>
  <c r="V530" i="3"/>
  <c r="U530" i="3"/>
  <c r="R530" i="3"/>
  <c r="W529" i="3"/>
  <c r="V529" i="3"/>
  <c r="U529" i="3"/>
  <c r="R529" i="3"/>
  <c r="W528" i="3"/>
  <c r="V528" i="3"/>
  <c r="U528" i="3"/>
  <c r="R528" i="3"/>
  <c r="W527" i="3"/>
  <c r="V527" i="3"/>
  <c r="U527" i="3"/>
  <c r="R527" i="3"/>
  <c r="W526" i="3"/>
  <c r="V526" i="3"/>
  <c r="U526" i="3"/>
  <c r="R526" i="3"/>
  <c r="W525" i="3"/>
  <c r="V525" i="3"/>
  <c r="U525" i="3"/>
  <c r="R525" i="3"/>
  <c r="W524" i="3"/>
  <c r="V524" i="3"/>
  <c r="U524" i="3"/>
  <c r="R524" i="3"/>
  <c r="W523" i="3"/>
  <c r="V523" i="3"/>
  <c r="U523" i="3"/>
  <c r="R523" i="3"/>
  <c r="W522" i="3"/>
  <c r="V522" i="3"/>
  <c r="U522" i="3"/>
  <c r="R522" i="3"/>
  <c r="W521" i="3"/>
  <c r="V521" i="3"/>
  <c r="U521" i="3"/>
  <c r="R521" i="3"/>
  <c r="W520" i="3"/>
  <c r="V520" i="3"/>
  <c r="U520" i="3"/>
  <c r="R520" i="3"/>
  <c r="W519" i="3"/>
  <c r="V519" i="3"/>
  <c r="U519" i="3"/>
  <c r="R519" i="3"/>
  <c r="W518" i="3"/>
  <c r="V518" i="3"/>
  <c r="U518" i="3"/>
  <c r="R518" i="3"/>
  <c r="W517" i="3"/>
  <c r="V517" i="3"/>
  <c r="U517" i="3"/>
  <c r="R517" i="3"/>
  <c r="W516" i="3"/>
  <c r="V516" i="3"/>
  <c r="U516" i="3"/>
  <c r="R516" i="3"/>
  <c r="W515" i="3"/>
  <c r="V515" i="3"/>
  <c r="U515" i="3"/>
  <c r="R515" i="3"/>
  <c r="W514" i="3"/>
  <c r="V514" i="3"/>
  <c r="U514" i="3"/>
  <c r="R514" i="3"/>
  <c r="W513" i="3"/>
  <c r="V513" i="3"/>
  <c r="U513" i="3"/>
  <c r="R513" i="3"/>
  <c r="W512" i="3"/>
  <c r="V512" i="3"/>
  <c r="U512" i="3"/>
  <c r="R512" i="3"/>
  <c r="W511" i="3"/>
  <c r="V511" i="3"/>
  <c r="U511" i="3"/>
  <c r="R511" i="3"/>
  <c r="W510" i="3"/>
  <c r="V510" i="3"/>
  <c r="U510" i="3"/>
  <c r="R510" i="3"/>
  <c r="W509" i="3"/>
  <c r="V509" i="3"/>
  <c r="U509" i="3"/>
  <c r="R509" i="3"/>
  <c r="W508" i="3"/>
  <c r="V508" i="3"/>
  <c r="U508" i="3"/>
  <c r="R508" i="3"/>
  <c r="W507" i="3"/>
  <c r="V507" i="3"/>
  <c r="U507" i="3"/>
  <c r="R507" i="3"/>
  <c r="W506" i="3"/>
  <c r="V506" i="3"/>
  <c r="U506" i="3"/>
  <c r="R506" i="3"/>
  <c r="W505" i="3"/>
  <c r="V505" i="3"/>
  <c r="U505" i="3"/>
  <c r="R505" i="3"/>
  <c r="W504" i="3"/>
  <c r="V504" i="3"/>
  <c r="U504" i="3"/>
  <c r="R504" i="3"/>
  <c r="W503" i="3"/>
  <c r="V503" i="3"/>
  <c r="U503" i="3"/>
  <c r="R503" i="3"/>
  <c r="W502" i="3"/>
  <c r="V502" i="3"/>
  <c r="U502" i="3"/>
  <c r="R502" i="3"/>
  <c r="W501" i="3"/>
  <c r="V501" i="3"/>
  <c r="U501" i="3"/>
  <c r="R501" i="3"/>
  <c r="W500" i="3"/>
  <c r="V500" i="3"/>
  <c r="U500" i="3"/>
  <c r="R500" i="3"/>
  <c r="W499" i="3"/>
  <c r="V499" i="3"/>
  <c r="U499" i="3"/>
  <c r="R499" i="3"/>
  <c r="W498" i="3"/>
  <c r="V498" i="3"/>
  <c r="U498" i="3"/>
  <c r="R498" i="3"/>
  <c r="W497" i="3"/>
  <c r="V497" i="3"/>
  <c r="U497" i="3"/>
  <c r="R497" i="3"/>
  <c r="W496" i="3"/>
  <c r="V496" i="3"/>
  <c r="U496" i="3"/>
  <c r="R496" i="3"/>
  <c r="W495" i="3"/>
  <c r="V495" i="3"/>
  <c r="U495" i="3"/>
  <c r="R495" i="3"/>
  <c r="W494" i="3"/>
  <c r="V494" i="3"/>
  <c r="U494" i="3"/>
  <c r="R494" i="3"/>
  <c r="W493" i="3"/>
  <c r="V493" i="3"/>
  <c r="U493" i="3"/>
  <c r="R493" i="3"/>
  <c r="W492" i="3"/>
  <c r="V492" i="3"/>
  <c r="U492" i="3"/>
  <c r="R492" i="3"/>
  <c r="W491" i="3"/>
  <c r="V491" i="3"/>
  <c r="U491" i="3"/>
  <c r="R491" i="3"/>
  <c r="W490" i="3"/>
  <c r="V490" i="3"/>
  <c r="U490" i="3"/>
  <c r="R490" i="3"/>
  <c r="W489" i="3"/>
  <c r="V489" i="3"/>
  <c r="U489" i="3"/>
  <c r="R489" i="3"/>
  <c r="W488" i="3"/>
  <c r="V488" i="3"/>
  <c r="U488" i="3"/>
  <c r="R488" i="3"/>
  <c r="W487" i="3"/>
  <c r="V487" i="3"/>
  <c r="U487" i="3"/>
  <c r="R487" i="3"/>
  <c r="W486" i="3"/>
  <c r="V486" i="3"/>
  <c r="U486" i="3"/>
  <c r="R486" i="3"/>
  <c r="W485" i="3"/>
  <c r="V485" i="3"/>
  <c r="U485" i="3"/>
  <c r="R485" i="3"/>
  <c r="W484" i="3"/>
  <c r="V484" i="3"/>
  <c r="U484" i="3"/>
  <c r="R484" i="3"/>
  <c r="W483" i="3"/>
  <c r="V483" i="3"/>
  <c r="U483" i="3"/>
  <c r="R483" i="3"/>
  <c r="W482" i="3"/>
  <c r="V482" i="3"/>
  <c r="U482" i="3"/>
  <c r="R482" i="3"/>
  <c r="W481" i="3"/>
  <c r="V481" i="3"/>
  <c r="U481" i="3"/>
  <c r="R481" i="3"/>
  <c r="W480" i="3"/>
  <c r="V480" i="3"/>
  <c r="U480" i="3"/>
  <c r="R480" i="3"/>
  <c r="W479" i="3"/>
  <c r="V479" i="3"/>
  <c r="U479" i="3"/>
  <c r="R479" i="3"/>
  <c r="W478" i="3"/>
  <c r="V478" i="3"/>
  <c r="U478" i="3"/>
  <c r="R478" i="3"/>
  <c r="W477" i="3"/>
  <c r="V477" i="3"/>
  <c r="U477" i="3"/>
  <c r="R477" i="3"/>
  <c r="W476" i="3"/>
  <c r="V476" i="3"/>
  <c r="U476" i="3"/>
  <c r="R476" i="3"/>
  <c r="W475" i="3"/>
  <c r="V475" i="3"/>
  <c r="U475" i="3"/>
  <c r="R475" i="3"/>
  <c r="W474" i="3"/>
  <c r="V474" i="3"/>
  <c r="U474" i="3"/>
  <c r="R474" i="3"/>
  <c r="W473" i="3"/>
  <c r="V473" i="3"/>
  <c r="U473" i="3"/>
  <c r="R473" i="3"/>
  <c r="W472" i="3"/>
  <c r="V472" i="3"/>
  <c r="U472" i="3"/>
  <c r="R472" i="3"/>
  <c r="W471" i="3"/>
  <c r="V471" i="3"/>
  <c r="U471" i="3"/>
  <c r="R471" i="3"/>
  <c r="W470" i="3"/>
  <c r="V470" i="3"/>
  <c r="U470" i="3"/>
  <c r="R470" i="3"/>
  <c r="W469" i="3"/>
  <c r="V469" i="3"/>
  <c r="U469" i="3"/>
  <c r="R469" i="3"/>
  <c r="W468" i="3"/>
  <c r="V468" i="3"/>
  <c r="U468" i="3"/>
  <c r="R468" i="3"/>
  <c r="W467" i="3"/>
  <c r="V467" i="3"/>
  <c r="U467" i="3"/>
  <c r="R467" i="3"/>
  <c r="W466" i="3"/>
  <c r="V466" i="3"/>
  <c r="U466" i="3"/>
  <c r="R466" i="3"/>
  <c r="W465" i="3"/>
  <c r="V465" i="3"/>
  <c r="U465" i="3"/>
  <c r="R465" i="3"/>
  <c r="W464" i="3"/>
  <c r="V464" i="3"/>
  <c r="U464" i="3"/>
  <c r="R464" i="3"/>
  <c r="W463" i="3"/>
  <c r="V463" i="3"/>
  <c r="U463" i="3"/>
  <c r="R463" i="3"/>
  <c r="W462" i="3"/>
  <c r="V462" i="3"/>
  <c r="U462" i="3"/>
  <c r="R462" i="3"/>
  <c r="W461" i="3"/>
  <c r="V461" i="3"/>
  <c r="U461" i="3"/>
  <c r="R461" i="3"/>
  <c r="W460" i="3"/>
  <c r="V460" i="3"/>
  <c r="U460" i="3"/>
  <c r="R460" i="3"/>
  <c r="W459" i="3"/>
  <c r="V459" i="3"/>
  <c r="U459" i="3"/>
  <c r="R459" i="3"/>
  <c r="W458" i="3"/>
  <c r="V458" i="3"/>
  <c r="U458" i="3"/>
  <c r="R458" i="3"/>
  <c r="W457" i="3"/>
  <c r="V457" i="3"/>
  <c r="U457" i="3"/>
  <c r="R457" i="3"/>
  <c r="W456" i="3"/>
  <c r="V456" i="3"/>
  <c r="U456" i="3"/>
  <c r="R456" i="3"/>
  <c r="W455" i="3"/>
  <c r="V455" i="3"/>
  <c r="U455" i="3"/>
  <c r="R455" i="3"/>
  <c r="W454" i="3"/>
  <c r="V454" i="3"/>
  <c r="U454" i="3"/>
  <c r="R454" i="3"/>
  <c r="W453" i="3"/>
  <c r="V453" i="3"/>
  <c r="U453" i="3"/>
  <c r="R453" i="3"/>
  <c r="W452" i="3"/>
  <c r="V452" i="3"/>
  <c r="U452" i="3"/>
  <c r="R452" i="3"/>
  <c r="W451" i="3"/>
  <c r="V451" i="3"/>
  <c r="U451" i="3"/>
  <c r="R451" i="3"/>
  <c r="W450" i="3"/>
  <c r="V450" i="3"/>
  <c r="U450" i="3"/>
  <c r="R450" i="3"/>
  <c r="W449" i="3"/>
  <c r="V449" i="3"/>
  <c r="U449" i="3"/>
  <c r="R449" i="3"/>
  <c r="W448" i="3"/>
  <c r="V448" i="3"/>
  <c r="U448" i="3"/>
  <c r="R448" i="3"/>
  <c r="W447" i="3"/>
  <c r="V447" i="3"/>
  <c r="U447" i="3"/>
  <c r="R447" i="3"/>
  <c r="W446" i="3"/>
  <c r="V446" i="3"/>
  <c r="U446" i="3"/>
  <c r="R446" i="3"/>
  <c r="W445" i="3"/>
  <c r="V445" i="3"/>
  <c r="U445" i="3"/>
  <c r="R445" i="3"/>
  <c r="W444" i="3"/>
  <c r="V444" i="3"/>
  <c r="U444" i="3"/>
  <c r="R444" i="3"/>
  <c r="W443" i="3"/>
  <c r="V443" i="3"/>
  <c r="U443" i="3"/>
  <c r="R443" i="3"/>
  <c r="W442" i="3"/>
  <c r="V442" i="3"/>
  <c r="U442" i="3"/>
  <c r="R442" i="3"/>
  <c r="W441" i="3"/>
  <c r="V441" i="3"/>
  <c r="U441" i="3"/>
  <c r="R441" i="3"/>
  <c r="W440" i="3"/>
  <c r="V440" i="3"/>
  <c r="U440" i="3"/>
  <c r="R440" i="3"/>
  <c r="W439" i="3"/>
  <c r="V439" i="3"/>
  <c r="U439" i="3"/>
  <c r="R439" i="3"/>
  <c r="W438" i="3"/>
  <c r="V438" i="3"/>
  <c r="U438" i="3"/>
  <c r="R438" i="3"/>
  <c r="W437" i="3"/>
  <c r="V437" i="3"/>
  <c r="U437" i="3"/>
  <c r="R437" i="3"/>
  <c r="W436" i="3"/>
  <c r="V436" i="3"/>
  <c r="U436" i="3"/>
  <c r="R436" i="3"/>
  <c r="W435" i="3"/>
  <c r="V435" i="3"/>
  <c r="U435" i="3"/>
  <c r="R435" i="3"/>
  <c r="W434" i="3"/>
  <c r="V434" i="3"/>
  <c r="U434" i="3"/>
  <c r="R434" i="3"/>
  <c r="W433" i="3"/>
  <c r="V433" i="3"/>
  <c r="U433" i="3"/>
  <c r="R433" i="3"/>
  <c r="W432" i="3"/>
  <c r="V432" i="3"/>
  <c r="U432" i="3"/>
  <c r="R432" i="3"/>
  <c r="W431" i="3"/>
  <c r="V431" i="3"/>
  <c r="U431" i="3"/>
  <c r="R431" i="3"/>
  <c r="W430" i="3"/>
  <c r="V430" i="3"/>
  <c r="U430" i="3"/>
  <c r="R430" i="3"/>
  <c r="W429" i="3"/>
  <c r="V429" i="3"/>
  <c r="U429" i="3"/>
  <c r="R429" i="3"/>
  <c r="W428" i="3"/>
  <c r="V428" i="3"/>
  <c r="U428" i="3"/>
  <c r="R428" i="3"/>
  <c r="W427" i="3"/>
  <c r="V427" i="3"/>
  <c r="U427" i="3"/>
  <c r="R427" i="3"/>
  <c r="W426" i="3"/>
  <c r="V426" i="3"/>
  <c r="U426" i="3"/>
  <c r="R426" i="3"/>
  <c r="W425" i="3"/>
  <c r="V425" i="3"/>
  <c r="U425" i="3"/>
  <c r="R425" i="3"/>
  <c r="W424" i="3"/>
  <c r="V424" i="3"/>
  <c r="U424" i="3"/>
  <c r="R424" i="3"/>
  <c r="W423" i="3"/>
  <c r="V423" i="3"/>
  <c r="U423" i="3"/>
  <c r="R423" i="3"/>
  <c r="W422" i="3"/>
  <c r="V422" i="3"/>
  <c r="U422" i="3"/>
  <c r="R422" i="3"/>
  <c r="W421" i="3"/>
  <c r="V421" i="3"/>
  <c r="U421" i="3"/>
  <c r="R421" i="3"/>
  <c r="W420" i="3"/>
  <c r="V420" i="3"/>
  <c r="U420" i="3"/>
  <c r="R420" i="3"/>
  <c r="W419" i="3"/>
  <c r="V419" i="3"/>
  <c r="U419" i="3"/>
  <c r="R419" i="3"/>
  <c r="W418" i="3"/>
  <c r="V418" i="3"/>
  <c r="U418" i="3"/>
  <c r="R418" i="3"/>
  <c r="W417" i="3"/>
  <c r="V417" i="3"/>
  <c r="U417" i="3"/>
  <c r="R417" i="3"/>
  <c r="W416" i="3"/>
  <c r="V416" i="3"/>
  <c r="U416" i="3"/>
  <c r="R416" i="3"/>
  <c r="W415" i="3"/>
  <c r="V415" i="3"/>
  <c r="U415" i="3"/>
  <c r="R415" i="3"/>
  <c r="W414" i="3"/>
  <c r="V414" i="3"/>
  <c r="U414" i="3"/>
  <c r="R414" i="3"/>
  <c r="W413" i="3"/>
  <c r="V413" i="3"/>
  <c r="U413" i="3"/>
  <c r="R413" i="3"/>
  <c r="W412" i="3"/>
  <c r="V412" i="3"/>
  <c r="U412" i="3"/>
  <c r="R412" i="3"/>
  <c r="W411" i="3"/>
  <c r="V411" i="3"/>
  <c r="U411" i="3"/>
  <c r="R411" i="3"/>
  <c r="W410" i="3"/>
  <c r="V410" i="3"/>
  <c r="U410" i="3"/>
  <c r="R410" i="3"/>
  <c r="W409" i="3"/>
  <c r="V409" i="3"/>
  <c r="U409" i="3"/>
  <c r="R409" i="3"/>
  <c r="W408" i="3"/>
  <c r="V408" i="3"/>
  <c r="U408" i="3"/>
  <c r="R408" i="3"/>
  <c r="W407" i="3"/>
  <c r="V407" i="3"/>
  <c r="U407" i="3"/>
  <c r="R407" i="3"/>
  <c r="W406" i="3"/>
  <c r="V406" i="3"/>
  <c r="U406" i="3"/>
  <c r="R406" i="3"/>
  <c r="W405" i="3"/>
  <c r="V405" i="3"/>
  <c r="U405" i="3"/>
  <c r="R405" i="3"/>
  <c r="W404" i="3"/>
  <c r="V404" i="3"/>
  <c r="U404" i="3"/>
  <c r="R404" i="3"/>
  <c r="W403" i="3"/>
  <c r="V403" i="3"/>
  <c r="U403" i="3"/>
  <c r="R403" i="3"/>
  <c r="W402" i="3"/>
  <c r="V402" i="3"/>
  <c r="U402" i="3"/>
  <c r="R402" i="3"/>
  <c r="W401" i="3"/>
  <c r="V401" i="3"/>
  <c r="U401" i="3"/>
  <c r="R401" i="3"/>
  <c r="W400" i="3"/>
  <c r="V400" i="3"/>
  <c r="U400" i="3"/>
  <c r="R400" i="3"/>
  <c r="W399" i="3"/>
  <c r="V399" i="3"/>
  <c r="U399" i="3"/>
  <c r="R399" i="3"/>
  <c r="W398" i="3"/>
  <c r="V398" i="3"/>
  <c r="U398" i="3"/>
  <c r="R398" i="3"/>
  <c r="W397" i="3"/>
  <c r="V397" i="3"/>
  <c r="U397" i="3"/>
  <c r="R397" i="3"/>
  <c r="W396" i="3"/>
  <c r="V396" i="3"/>
  <c r="U396" i="3"/>
  <c r="R396" i="3"/>
  <c r="W395" i="3"/>
  <c r="V395" i="3"/>
  <c r="U395" i="3"/>
  <c r="R395" i="3"/>
  <c r="W394" i="3"/>
  <c r="V394" i="3"/>
  <c r="U394" i="3"/>
  <c r="R394" i="3"/>
  <c r="W393" i="3"/>
  <c r="V393" i="3"/>
  <c r="U393" i="3"/>
  <c r="R393" i="3"/>
  <c r="W392" i="3"/>
  <c r="V392" i="3"/>
  <c r="U392" i="3"/>
  <c r="R392" i="3"/>
  <c r="W391" i="3"/>
  <c r="V391" i="3"/>
  <c r="U391" i="3"/>
  <c r="R391" i="3"/>
  <c r="W390" i="3"/>
  <c r="V390" i="3"/>
  <c r="U390" i="3"/>
  <c r="R390" i="3"/>
  <c r="W389" i="3"/>
  <c r="V389" i="3"/>
  <c r="U389" i="3"/>
  <c r="R389" i="3"/>
  <c r="W388" i="3"/>
  <c r="V388" i="3"/>
  <c r="U388" i="3"/>
  <c r="R388" i="3"/>
  <c r="W387" i="3"/>
  <c r="V387" i="3"/>
  <c r="U387" i="3"/>
  <c r="R387" i="3"/>
  <c r="W386" i="3"/>
  <c r="V386" i="3"/>
  <c r="U386" i="3"/>
  <c r="R386" i="3"/>
  <c r="W385" i="3"/>
  <c r="V385" i="3"/>
  <c r="U385" i="3"/>
  <c r="R385" i="3"/>
  <c r="W384" i="3"/>
  <c r="V384" i="3"/>
  <c r="U384" i="3"/>
  <c r="R384" i="3"/>
  <c r="W383" i="3"/>
  <c r="V383" i="3"/>
  <c r="U383" i="3"/>
  <c r="R383" i="3"/>
  <c r="W382" i="3"/>
  <c r="V382" i="3"/>
  <c r="U382" i="3"/>
  <c r="R382" i="3"/>
  <c r="W381" i="3"/>
  <c r="V381" i="3"/>
  <c r="U381" i="3"/>
  <c r="R381" i="3"/>
  <c r="W380" i="3"/>
  <c r="V380" i="3"/>
  <c r="U380" i="3"/>
  <c r="R380" i="3"/>
  <c r="W379" i="3"/>
  <c r="V379" i="3"/>
  <c r="U379" i="3"/>
  <c r="R379" i="3"/>
  <c r="W378" i="3"/>
  <c r="V378" i="3"/>
  <c r="U378" i="3"/>
  <c r="R378" i="3"/>
  <c r="W377" i="3"/>
  <c r="V377" i="3"/>
  <c r="U377" i="3"/>
  <c r="R377" i="3"/>
  <c r="W376" i="3"/>
  <c r="V376" i="3"/>
  <c r="U376" i="3"/>
  <c r="R376" i="3"/>
  <c r="W375" i="3"/>
  <c r="V375" i="3"/>
  <c r="U375" i="3"/>
  <c r="R375" i="3"/>
  <c r="W374" i="3"/>
  <c r="V374" i="3"/>
  <c r="U374" i="3"/>
  <c r="R374" i="3"/>
  <c r="W373" i="3"/>
  <c r="V373" i="3"/>
  <c r="U373" i="3"/>
  <c r="R373" i="3"/>
  <c r="W372" i="3"/>
  <c r="V372" i="3"/>
  <c r="U372" i="3"/>
  <c r="R372" i="3"/>
  <c r="W371" i="3"/>
  <c r="V371" i="3"/>
  <c r="U371" i="3"/>
  <c r="R371" i="3"/>
  <c r="W370" i="3"/>
  <c r="V370" i="3"/>
  <c r="U370" i="3"/>
  <c r="R370" i="3"/>
  <c r="W369" i="3"/>
  <c r="V369" i="3"/>
  <c r="U369" i="3"/>
  <c r="R369" i="3"/>
  <c r="W368" i="3"/>
  <c r="V368" i="3"/>
  <c r="U368" i="3"/>
  <c r="R368" i="3"/>
  <c r="W367" i="3"/>
  <c r="V367" i="3"/>
  <c r="U367" i="3"/>
  <c r="R367" i="3"/>
  <c r="W366" i="3"/>
  <c r="V366" i="3"/>
  <c r="U366" i="3"/>
  <c r="R366" i="3"/>
  <c r="W365" i="3"/>
  <c r="V365" i="3"/>
  <c r="U365" i="3"/>
  <c r="R365" i="3"/>
  <c r="W364" i="3"/>
  <c r="V364" i="3"/>
  <c r="U364" i="3"/>
  <c r="R364" i="3"/>
  <c r="W363" i="3"/>
  <c r="V363" i="3"/>
  <c r="U363" i="3"/>
  <c r="R363" i="3"/>
  <c r="W362" i="3"/>
  <c r="V362" i="3"/>
  <c r="U362" i="3"/>
  <c r="R362" i="3"/>
  <c r="W361" i="3"/>
  <c r="V361" i="3"/>
  <c r="U361" i="3"/>
  <c r="R361" i="3"/>
  <c r="W360" i="3"/>
  <c r="V360" i="3"/>
  <c r="U360" i="3"/>
  <c r="R360" i="3"/>
  <c r="W359" i="3"/>
  <c r="V359" i="3"/>
  <c r="U359" i="3"/>
  <c r="R359" i="3"/>
  <c r="W358" i="3"/>
  <c r="V358" i="3"/>
  <c r="U358" i="3"/>
  <c r="R358" i="3"/>
  <c r="W357" i="3"/>
  <c r="V357" i="3"/>
  <c r="U357" i="3"/>
  <c r="R357" i="3"/>
  <c r="W356" i="3"/>
  <c r="V356" i="3"/>
  <c r="U356" i="3"/>
  <c r="R356" i="3"/>
  <c r="W355" i="3"/>
  <c r="V355" i="3"/>
  <c r="U355" i="3"/>
  <c r="R355" i="3"/>
  <c r="W354" i="3"/>
  <c r="V354" i="3"/>
  <c r="U354" i="3"/>
  <c r="R354" i="3"/>
  <c r="W353" i="3"/>
  <c r="V353" i="3"/>
  <c r="U353" i="3"/>
  <c r="R353" i="3"/>
  <c r="W352" i="3"/>
  <c r="V352" i="3"/>
  <c r="U352" i="3"/>
  <c r="R352" i="3"/>
  <c r="W351" i="3"/>
  <c r="V351" i="3"/>
  <c r="U351" i="3"/>
  <c r="R351" i="3"/>
  <c r="W350" i="3"/>
  <c r="V350" i="3"/>
  <c r="U350" i="3"/>
  <c r="R350" i="3"/>
  <c r="W349" i="3"/>
  <c r="V349" i="3"/>
  <c r="U349" i="3"/>
  <c r="R349" i="3"/>
  <c r="W348" i="3"/>
  <c r="V348" i="3"/>
  <c r="U348" i="3"/>
  <c r="R348" i="3"/>
  <c r="W347" i="3"/>
  <c r="V347" i="3"/>
  <c r="U347" i="3"/>
  <c r="R347" i="3"/>
  <c r="W346" i="3"/>
  <c r="V346" i="3"/>
  <c r="U346" i="3"/>
  <c r="R346" i="3"/>
  <c r="W345" i="3"/>
  <c r="V345" i="3"/>
  <c r="U345" i="3"/>
  <c r="R345" i="3"/>
  <c r="W344" i="3"/>
  <c r="V344" i="3"/>
  <c r="U344" i="3"/>
  <c r="R344" i="3"/>
  <c r="W343" i="3"/>
  <c r="V343" i="3"/>
  <c r="U343" i="3"/>
  <c r="R343" i="3"/>
  <c r="W342" i="3"/>
  <c r="V342" i="3"/>
  <c r="U342" i="3"/>
  <c r="R342" i="3"/>
  <c r="W341" i="3"/>
  <c r="V341" i="3"/>
  <c r="U341" i="3"/>
  <c r="R341" i="3"/>
  <c r="W340" i="3"/>
  <c r="V340" i="3"/>
  <c r="U340" i="3"/>
  <c r="R340" i="3"/>
  <c r="W339" i="3"/>
  <c r="V339" i="3"/>
  <c r="U339" i="3"/>
  <c r="R339" i="3"/>
  <c r="W338" i="3"/>
  <c r="V338" i="3"/>
  <c r="U338" i="3"/>
  <c r="R338" i="3"/>
  <c r="W337" i="3"/>
  <c r="V337" i="3"/>
  <c r="U337" i="3"/>
  <c r="R337" i="3"/>
  <c r="W336" i="3"/>
  <c r="V336" i="3"/>
  <c r="U336" i="3"/>
  <c r="R336" i="3"/>
  <c r="W335" i="3"/>
  <c r="V335" i="3"/>
  <c r="U335" i="3"/>
  <c r="R335" i="3"/>
  <c r="W334" i="3"/>
  <c r="V334" i="3"/>
  <c r="U334" i="3"/>
  <c r="R334" i="3"/>
  <c r="W333" i="3"/>
  <c r="V333" i="3"/>
  <c r="U333" i="3"/>
  <c r="R333" i="3"/>
  <c r="W332" i="3"/>
  <c r="V332" i="3"/>
  <c r="U332" i="3"/>
  <c r="R332" i="3"/>
  <c r="W331" i="3"/>
  <c r="V331" i="3"/>
  <c r="U331" i="3"/>
  <c r="R331" i="3"/>
  <c r="W330" i="3"/>
  <c r="V330" i="3"/>
  <c r="U330" i="3"/>
  <c r="R330" i="3"/>
  <c r="W329" i="3"/>
  <c r="V329" i="3"/>
  <c r="U329" i="3"/>
  <c r="R329" i="3"/>
  <c r="W328" i="3"/>
  <c r="V328" i="3"/>
  <c r="U328" i="3"/>
  <c r="R328" i="3"/>
  <c r="W327" i="3"/>
  <c r="V327" i="3"/>
  <c r="U327" i="3"/>
  <c r="R327" i="3"/>
  <c r="W326" i="3"/>
  <c r="V326" i="3"/>
  <c r="U326" i="3"/>
  <c r="R326" i="3"/>
  <c r="W325" i="3"/>
  <c r="V325" i="3"/>
  <c r="U325" i="3"/>
  <c r="R325" i="3"/>
  <c r="W324" i="3"/>
  <c r="V324" i="3"/>
  <c r="U324" i="3"/>
  <c r="R324" i="3"/>
  <c r="W323" i="3"/>
  <c r="V323" i="3"/>
  <c r="U323" i="3"/>
  <c r="R323" i="3"/>
  <c r="W322" i="3"/>
  <c r="V322" i="3"/>
  <c r="U322" i="3"/>
  <c r="R322" i="3"/>
  <c r="W321" i="3"/>
  <c r="V321" i="3"/>
  <c r="U321" i="3"/>
  <c r="R321" i="3"/>
  <c r="W320" i="3"/>
  <c r="V320" i="3"/>
  <c r="U320" i="3"/>
  <c r="R320" i="3"/>
  <c r="W319" i="3"/>
  <c r="V319" i="3"/>
  <c r="U319" i="3"/>
  <c r="R319" i="3"/>
  <c r="W318" i="3"/>
  <c r="V318" i="3"/>
  <c r="U318" i="3"/>
  <c r="R318" i="3"/>
  <c r="W317" i="3"/>
  <c r="V317" i="3"/>
  <c r="U317" i="3"/>
  <c r="R317" i="3"/>
  <c r="W316" i="3"/>
  <c r="V316" i="3"/>
  <c r="U316" i="3"/>
  <c r="R316" i="3"/>
  <c r="W315" i="3"/>
  <c r="V315" i="3"/>
  <c r="U315" i="3"/>
  <c r="R315" i="3"/>
  <c r="W314" i="3"/>
  <c r="V314" i="3"/>
  <c r="U314" i="3"/>
  <c r="R314" i="3"/>
  <c r="W313" i="3"/>
  <c r="V313" i="3"/>
  <c r="U313" i="3"/>
  <c r="R313" i="3"/>
  <c r="W312" i="3"/>
  <c r="V312" i="3"/>
  <c r="U312" i="3"/>
  <c r="R312" i="3"/>
  <c r="W311" i="3"/>
  <c r="V311" i="3"/>
  <c r="U311" i="3"/>
  <c r="R311" i="3"/>
  <c r="W310" i="3"/>
  <c r="V310" i="3"/>
  <c r="U310" i="3"/>
  <c r="R310" i="3"/>
  <c r="W309" i="3"/>
  <c r="V309" i="3"/>
  <c r="U309" i="3"/>
  <c r="R309" i="3"/>
  <c r="W308" i="3"/>
  <c r="V308" i="3"/>
  <c r="U308" i="3"/>
  <c r="R308" i="3"/>
  <c r="W307" i="3"/>
  <c r="V307" i="3"/>
  <c r="U307" i="3"/>
  <c r="R307" i="3"/>
  <c r="W306" i="3"/>
  <c r="V306" i="3"/>
  <c r="U306" i="3"/>
  <c r="R306" i="3"/>
  <c r="W305" i="3"/>
  <c r="V305" i="3"/>
  <c r="U305" i="3"/>
  <c r="R305" i="3"/>
  <c r="W304" i="3"/>
  <c r="V304" i="3"/>
  <c r="U304" i="3"/>
  <c r="R304" i="3"/>
  <c r="W303" i="3"/>
  <c r="V303" i="3"/>
  <c r="U303" i="3"/>
  <c r="R303" i="3"/>
  <c r="W302" i="3"/>
  <c r="V302" i="3"/>
  <c r="U302" i="3"/>
  <c r="R302" i="3"/>
  <c r="W301" i="3"/>
  <c r="V301" i="3"/>
  <c r="U301" i="3"/>
  <c r="R301" i="3"/>
  <c r="W300" i="3"/>
  <c r="V300" i="3"/>
  <c r="U300" i="3"/>
  <c r="R300" i="3"/>
  <c r="W299" i="3"/>
  <c r="V299" i="3"/>
  <c r="U299" i="3"/>
  <c r="R299" i="3"/>
  <c r="W298" i="3"/>
  <c r="V298" i="3"/>
  <c r="U298" i="3"/>
  <c r="R298" i="3"/>
  <c r="W297" i="3"/>
  <c r="V297" i="3"/>
  <c r="U297" i="3"/>
  <c r="R297" i="3"/>
  <c r="W296" i="3"/>
  <c r="V296" i="3"/>
  <c r="U296" i="3"/>
  <c r="R296" i="3"/>
  <c r="W295" i="3"/>
  <c r="V295" i="3"/>
  <c r="U295" i="3"/>
  <c r="R295" i="3"/>
  <c r="W294" i="3"/>
  <c r="V294" i="3"/>
  <c r="U294" i="3"/>
  <c r="R294" i="3"/>
  <c r="W293" i="3"/>
  <c r="V293" i="3"/>
  <c r="U293" i="3"/>
  <c r="R293" i="3"/>
  <c r="W292" i="3"/>
  <c r="V292" i="3"/>
  <c r="U292" i="3"/>
  <c r="R292" i="3"/>
  <c r="W291" i="3"/>
  <c r="V291" i="3"/>
  <c r="U291" i="3"/>
  <c r="R291" i="3"/>
  <c r="W290" i="3"/>
  <c r="V290" i="3"/>
  <c r="U290" i="3"/>
  <c r="R290" i="3"/>
  <c r="W289" i="3"/>
  <c r="V289" i="3"/>
  <c r="U289" i="3"/>
  <c r="R289" i="3"/>
  <c r="W288" i="3"/>
  <c r="V288" i="3"/>
  <c r="U288" i="3"/>
  <c r="R288" i="3"/>
  <c r="W287" i="3"/>
  <c r="V287" i="3"/>
  <c r="U287" i="3"/>
  <c r="R287" i="3"/>
  <c r="W286" i="3"/>
  <c r="V286" i="3"/>
  <c r="U286" i="3"/>
  <c r="R286" i="3"/>
  <c r="W285" i="3"/>
  <c r="V285" i="3"/>
  <c r="U285" i="3"/>
  <c r="R285" i="3"/>
  <c r="W284" i="3"/>
  <c r="V284" i="3"/>
  <c r="U284" i="3"/>
  <c r="R284" i="3"/>
  <c r="W283" i="3"/>
  <c r="V283" i="3"/>
  <c r="U283" i="3"/>
  <c r="R283" i="3"/>
  <c r="W282" i="3"/>
  <c r="V282" i="3"/>
  <c r="U282" i="3"/>
  <c r="R282" i="3"/>
  <c r="W281" i="3"/>
  <c r="V281" i="3"/>
  <c r="U281" i="3"/>
  <c r="R281" i="3"/>
  <c r="W280" i="3"/>
  <c r="V280" i="3"/>
  <c r="U280" i="3"/>
  <c r="R280" i="3"/>
  <c r="W279" i="3"/>
  <c r="V279" i="3"/>
  <c r="U279" i="3"/>
  <c r="R279" i="3"/>
  <c r="W278" i="3"/>
  <c r="V278" i="3"/>
  <c r="U278" i="3"/>
  <c r="R278" i="3"/>
  <c r="W277" i="3"/>
  <c r="V277" i="3"/>
  <c r="U277" i="3"/>
  <c r="R277" i="3"/>
  <c r="W276" i="3"/>
  <c r="V276" i="3"/>
  <c r="U276" i="3"/>
  <c r="R276" i="3"/>
  <c r="W275" i="3"/>
  <c r="V275" i="3"/>
  <c r="U275" i="3"/>
  <c r="R275" i="3"/>
  <c r="W274" i="3"/>
  <c r="V274" i="3"/>
  <c r="U274" i="3"/>
  <c r="R274" i="3"/>
  <c r="W273" i="3"/>
  <c r="V273" i="3"/>
  <c r="U273" i="3"/>
  <c r="R273" i="3"/>
  <c r="W272" i="3"/>
  <c r="V272" i="3"/>
  <c r="U272" i="3"/>
  <c r="R272" i="3"/>
  <c r="W271" i="3"/>
  <c r="V271" i="3"/>
  <c r="U271" i="3"/>
  <c r="R271" i="3"/>
  <c r="W270" i="3"/>
  <c r="V270" i="3"/>
  <c r="U270" i="3"/>
  <c r="R270" i="3"/>
  <c r="W269" i="3"/>
  <c r="V269" i="3"/>
  <c r="U269" i="3"/>
  <c r="R269" i="3"/>
  <c r="W268" i="3"/>
  <c r="V268" i="3"/>
  <c r="U268" i="3"/>
  <c r="R268" i="3"/>
  <c r="W267" i="3"/>
  <c r="V267" i="3"/>
  <c r="U267" i="3"/>
  <c r="R267" i="3"/>
  <c r="W266" i="3"/>
  <c r="V266" i="3"/>
  <c r="U266" i="3"/>
  <c r="R266" i="3"/>
  <c r="W265" i="3"/>
  <c r="V265" i="3"/>
  <c r="U265" i="3"/>
  <c r="R265" i="3"/>
  <c r="W264" i="3"/>
  <c r="V264" i="3"/>
  <c r="U264" i="3"/>
  <c r="R264" i="3"/>
  <c r="W263" i="3"/>
  <c r="V263" i="3"/>
  <c r="U263" i="3"/>
  <c r="R263" i="3"/>
  <c r="W262" i="3"/>
  <c r="V262" i="3"/>
  <c r="U262" i="3"/>
  <c r="R262" i="3"/>
  <c r="W261" i="3"/>
  <c r="V261" i="3"/>
  <c r="U261" i="3"/>
  <c r="R261" i="3"/>
  <c r="W260" i="3"/>
  <c r="V260" i="3"/>
  <c r="U260" i="3"/>
  <c r="R260" i="3"/>
  <c r="W259" i="3"/>
  <c r="V259" i="3"/>
  <c r="U259" i="3"/>
  <c r="R259" i="3"/>
  <c r="W258" i="3"/>
  <c r="V258" i="3"/>
  <c r="U258" i="3"/>
  <c r="R258" i="3"/>
  <c r="W257" i="3"/>
  <c r="V257" i="3"/>
  <c r="U257" i="3"/>
  <c r="R257" i="3"/>
  <c r="W256" i="3"/>
  <c r="V256" i="3"/>
  <c r="U256" i="3"/>
  <c r="R256" i="3"/>
  <c r="W255" i="3"/>
  <c r="V255" i="3"/>
  <c r="U255" i="3"/>
  <c r="R255" i="3"/>
  <c r="W254" i="3"/>
  <c r="V254" i="3"/>
  <c r="U254" i="3"/>
  <c r="R254" i="3"/>
  <c r="W253" i="3"/>
  <c r="V253" i="3"/>
  <c r="U253" i="3"/>
  <c r="R253" i="3"/>
  <c r="W252" i="3"/>
  <c r="V252" i="3"/>
  <c r="U252" i="3"/>
  <c r="R252" i="3"/>
  <c r="W251" i="3"/>
  <c r="V251" i="3"/>
  <c r="U251" i="3"/>
  <c r="R251" i="3"/>
  <c r="W250" i="3"/>
  <c r="V250" i="3"/>
  <c r="U250" i="3"/>
  <c r="R250" i="3"/>
  <c r="W249" i="3"/>
  <c r="V249" i="3"/>
  <c r="U249" i="3"/>
  <c r="R249" i="3"/>
  <c r="W248" i="3"/>
  <c r="V248" i="3"/>
  <c r="U248" i="3"/>
  <c r="R248" i="3"/>
  <c r="W247" i="3"/>
  <c r="V247" i="3"/>
  <c r="U247" i="3"/>
  <c r="R247" i="3"/>
  <c r="W246" i="3"/>
  <c r="V246" i="3"/>
  <c r="U246" i="3"/>
  <c r="R246" i="3"/>
  <c r="W245" i="3"/>
  <c r="V245" i="3"/>
  <c r="U245" i="3"/>
  <c r="R245" i="3"/>
  <c r="W244" i="3"/>
  <c r="V244" i="3"/>
  <c r="U244" i="3"/>
  <c r="R244" i="3"/>
  <c r="W243" i="3"/>
  <c r="V243" i="3"/>
  <c r="U243" i="3"/>
  <c r="R243" i="3"/>
  <c r="W242" i="3"/>
  <c r="V242" i="3"/>
  <c r="U242" i="3"/>
  <c r="R242" i="3"/>
  <c r="W241" i="3"/>
  <c r="V241" i="3"/>
  <c r="U241" i="3"/>
  <c r="R241" i="3"/>
  <c r="W240" i="3"/>
  <c r="V240" i="3"/>
  <c r="U240" i="3"/>
  <c r="R240" i="3"/>
  <c r="W239" i="3"/>
  <c r="V239" i="3"/>
  <c r="U239" i="3"/>
  <c r="R239" i="3"/>
  <c r="W238" i="3"/>
  <c r="V238" i="3"/>
  <c r="U238" i="3"/>
  <c r="R238" i="3"/>
  <c r="W237" i="3"/>
  <c r="V237" i="3"/>
  <c r="U237" i="3"/>
  <c r="R237" i="3"/>
  <c r="W236" i="3"/>
  <c r="V236" i="3"/>
  <c r="U236" i="3"/>
  <c r="R236" i="3"/>
  <c r="W235" i="3"/>
  <c r="V235" i="3"/>
  <c r="U235" i="3"/>
  <c r="R235" i="3"/>
  <c r="W234" i="3"/>
  <c r="V234" i="3"/>
  <c r="U234" i="3"/>
  <c r="R234" i="3"/>
  <c r="W233" i="3"/>
  <c r="V233" i="3"/>
  <c r="U233" i="3"/>
  <c r="R233" i="3"/>
  <c r="W232" i="3"/>
  <c r="V232" i="3"/>
  <c r="U232" i="3"/>
  <c r="R232" i="3"/>
  <c r="W231" i="3"/>
  <c r="V231" i="3"/>
  <c r="U231" i="3"/>
  <c r="R231" i="3"/>
  <c r="W230" i="3"/>
  <c r="V230" i="3"/>
  <c r="U230" i="3"/>
  <c r="R230" i="3"/>
  <c r="W229" i="3"/>
  <c r="V229" i="3"/>
  <c r="U229" i="3"/>
  <c r="R229" i="3"/>
  <c r="W228" i="3"/>
  <c r="V228" i="3"/>
  <c r="U228" i="3"/>
  <c r="R228" i="3"/>
  <c r="W227" i="3"/>
  <c r="V227" i="3"/>
  <c r="U227" i="3"/>
  <c r="R227" i="3"/>
  <c r="W226" i="3"/>
  <c r="V226" i="3"/>
  <c r="U226" i="3"/>
  <c r="R226" i="3"/>
  <c r="W225" i="3"/>
  <c r="V225" i="3"/>
  <c r="U225" i="3"/>
  <c r="R225" i="3"/>
  <c r="W224" i="3"/>
  <c r="V224" i="3"/>
  <c r="U224" i="3"/>
  <c r="R224" i="3"/>
  <c r="W223" i="3"/>
  <c r="V223" i="3"/>
  <c r="U223" i="3"/>
  <c r="R223" i="3"/>
  <c r="W222" i="3"/>
  <c r="V222" i="3"/>
  <c r="U222" i="3"/>
  <c r="R222" i="3"/>
  <c r="W221" i="3"/>
  <c r="V221" i="3"/>
  <c r="U221" i="3"/>
  <c r="R221" i="3"/>
  <c r="W220" i="3"/>
  <c r="V220" i="3"/>
  <c r="U220" i="3"/>
  <c r="R220" i="3"/>
  <c r="W219" i="3"/>
  <c r="V219" i="3"/>
  <c r="U219" i="3"/>
  <c r="R219" i="3"/>
  <c r="W218" i="3"/>
  <c r="V218" i="3"/>
  <c r="U218" i="3"/>
  <c r="R218" i="3"/>
  <c r="W217" i="3"/>
  <c r="V217" i="3"/>
  <c r="U217" i="3"/>
  <c r="R217" i="3"/>
  <c r="W216" i="3"/>
  <c r="V216" i="3"/>
  <c r="U216" i="3"/>
  <c r="R216" i="3"/>
  <c r="W215" i="3"/>
  <c r="V215" i="3"/>
  <c r="U215" i="3"/>
  <c r="R215" i="3"/>
  <c r="W214" i="3"/>
  <c r="V214" i="3"/>
  <c r="U214" i="3"/>
  <c r="R214" i="3"/>
  <c r="W213" i="3"/>
  <c r="V213" i="3"/>
  <c r="U213" i="3"/>
  <c r="R213" i="3"/>
  <c r="W212" i="3"/>
  <c r="V212" i="3"/>
  <c r="U212" i="3"/>
  <c r="R212" i="3"/>
  <c r="W211" i="3"/>
  <c r="V211" i="3"/>
  <c r="U211" i="3"/>
  <c r="R211" i="3"/>
  <c r="W210" i="3"/>
  <c r="V210" i="3"/>
  <c r="U210" i="3"/>
  <c r="R210" i="3"/>
  <c r="W209" i="3"/>
  <c r="V209" i="3"/>
  <c r="U209" i="3"/>
  <c r="R209" i="3"/>
  <c r="W208" i="3"/>
  <c r="V208" i="3"/>
  <c r="U208" i="3"/>
  <c r="R208" i="3"/>
  <c r="W207" i="3"/>
  <c r="V207" i="3"/>
  <c r="U207" i="3"/>
  <c r="R207" i="3"/>
  <c r="W206" i="3"/>
  <c r="V206" i="3"/>
  <c r="U206" i="3"/>
  <c r="R206" i="3"/>
  <c r="W205" i="3"/>
  <c r="V205" i="3"/>
  <c r="U205" i="3"/>
  <c r="R205" i="3"/>
  <c r="W204" i="3"/>
  <c r="V204" i="3"/>
  <c r="U204" i="3"/>
  <c r="R204" i="3"/>
  <c r="W203" i="3"/>
  <c r="V203" i="3"/>
  <c r="U203" i="3"/>
  <c r="R203" i="3"/>
  <c r="W202" i="3"/>
  <c r="V202" i="3"/>
  <c r="U202" i="3"/>
  <c r="R202" i="3"/>
  <c r="W201" i="3"/>
  <c r="V201" i="3"/>
  <c r="U201" i="3"/>
  <c r="R201" i="3"/>
  <c r="W200" i="3"/>
  <c r="V200" i="3"/>
  <c r="U200" i="3"/>
  <c r="R200" i="3"/>
  <c r="W199" i="3"/>
  <c r="V199" i="3"/>
  <c r="U199" i="3"/>
  <c r="R199" i="3"/>
  <c r="W198" i="3"/>
  <c r="V198" i="3"/>
  <c r="U198" i="3"/>
  <c r="R198" i="3"/>
  <c r="W197" i="3"/>
  <c r="V197" i="3"/>
  <c r="U197" i="3"/>
  <c r="R197" i="3"/>
  <c r="W196" i="3"/>
  <c r="V196" i="3"/>
  <c r="U196" i="3"/>
  <c r="R196" i="3"/>
  <c r="W195" i="3"/>
  <c r="V195" i="3"/>
  <c r="U195" i="3"/>
  <c r="R195" i="3"/>
  <c r="W194" i="3"/>
  <c r="V194" i="3"/>
  <c r="U194" i="3"/>
  <c r="R194" i="3"/>
  <c r="W193" i="3"/>
  <c r="V193" i="3"/>
  <c r="U193" i="3"/>
  <c r="R193" i="3"/>
  <c r="W192" i="3"/>
  <c r="V192" i="3"/>
  <c r="U192" i="3"/>
  <c r="R192" i="3"/>
  <c r="W191" i="3"/>
  <c r="V191" i="3"/>
  <c r="U191" i="3"/>
  <c r="R191" i="3"/>
  <c r="W190" i="3"/>
  <c r="V190" i="3"/>
  <c r="U190" i="3"/>
  <c r="R190" i="3"/>
  <c r="W189" i="3"/>
  <c r="V189" i="3"/>
  <c r="U189" i="3"/>
  <c r="R189" i="3"/>
  <c r="W188" i="3"/>
  <c r="V188" i="3"/>
  <c r="U188" i="3"/>
  <c r="R188" i="3"/>
  <c r="W187" i="3"/>
  <c r="V187" i="3"/>
  <c r="U187" i="3"/>
  <c r="R187" i="3"/>
  <c r="W186" i="3"/>
  <c r="V186" i="3"/>
  <c r="U186" i="3"/>
  <c r="R186" i="3"/>
  <c r="W185" i="3"/>
  <c r="V185" i="3"/>
  <c r="U185" i="3"/>
  <c r="R185" i="3"/>
  <c r="W184" i="3"/>
  <c r="V184" i="3"/>
  <c r="U184" i="3"/>
  <c r="R184" i="3"/>
  <c r="W183" i="3"/>
  <c r="V183" i="3"/>
  <c r="U183" i="3"/>
  <c r="R183" i="3"/>
  <c r="W182" i="3"/>
  <c r="V182" i="3"/>
  <c r="U182" i="3"/>
  <c r="R182" i="3"/>
  <c r="W181" i="3"/>
  <c r="V181" i="3"/>
  <c r="U181" i="3"/>
  <c r="R181" i="3"/>
  <c r="W180" i="3"/>
  <c r="V180" i="3"/>
  <c r="U180" i="3"/>
  <c r="R180" i="3"/>
  <c r="W179" i="3"/>
  <c r="V179" i="3"/>
  <c r="U179" i="3"/>
  <c r="R179" i="3"/>
  <c r="W178" i="3"/>
  <c r="V178" i="3"/>
  <c r="U178" i="3"/>
  <c r="R178" i="3"/>
  <c r="W177" i="3"/>
  <c r="V177" i="3"/>
  <c r="U177" i="3"/>
  <c r="R177" i="3"/>
  <c r="W176" i="3"/>
  <c r="V176" i="3"/>
  <c r="U176" i="3"/>
  <c r="R176" i="3"/>
  <c r="W175" i="3"/>
  <c r="V175" i="3"/>
  <c r="U175" i="3"/>
  <c r="R175" i="3"/>
  <c r="W174" i="3"/>
  <c r="V174" i="3"/>
  <c r="U174" i="3"/>
  <c r="R174" i="3"/>
  <c r="W173" i="3"/>
  <c r="V173" i="3"/>
  <c r="U173" i="3"/>
  <c r="R173" i="3"/>
  <c r="W172" i="3"/>
  <c r="V172" i="3"/>
  <c r="U172" i="3"/>
  <c r="R172" i="3"/>
  <c r="W171" i="3"/>
  <c r="V171" i="3"/>
  <c r="U171" i="3"/>
  <c r="R171" i="3"/>
  <c r="W170" i="3"/>
  <c r="V170" i="3"/>
  <c r="U170" i="3"/>
  <c r="R170" i="3"/>
  <c r="W169" i="3"/>
  <c r="V169" i="3"/>
  <c r="U169" i="3"/>
  <c r="R169" i="3"/>
  <c r="W168" i="3"/>
  <c r="V168" i="3"/>
  <c r="U168" i="3"/>
  <c r="R168" i="3"/>
  <c r="W167" i="3"/>
  <c r="V167" i="3"/>
  <c r="U167" i="3"/>
  <c r="R167" i="3"/>
  <c r="W166" i="3"/>
  <c r="V166" i="3"/>
  <c r="U166" i="3"/>
  <c r="R166" i="3"/>
  <c r="W165" i="3"/>
  <c r="V165" i="3"/>
  <c r="U165" i="3"/>
  <c r="R165" i="3"/>
  <c r="W164" i="3"/>
  <c r="V164" i="3"/>
  <c r="U164" i="3"/>
  <c r="R164" i="3"/>
  <c r="W163" i="3"/>
  <c r="V163" i="3"/>
  <c r="U163" i="3"/>
  <c r="R163" i="3"/>
  <c r="W162" i="3"/>
  <c r="V162" i="3"/>
  <c r="U162" i="3"/>
  <c r="R162" i="3"/>
  <c r="W161" i="3"/>
  <c r="V161" i="3"/>
  <c r="U161" i="3"/>
  <c r="R161" i="3"/>
  <c r="W160" i="3"/>
  <c r="V160" i="3"/>
  <c r="U160" i="3"/>
  <c r="R160" i="3"/>
  <c r="W159" i="3"/>
  <c r="V159" i="3"/>
  <c r="U159" i="3"/>
  <c r="R159" i="3"/>
  <c r="W158" i="3"/>
  <c r="V158" i="3"/>
  <c r="U158" i="3"/>
  <c r="R158" i="3"/>
  <c r="W157" i="3"/>
  <c r="V157" i="3"/>
  <c r="U157" i="3"/>
  <c r="R157" i="3"/>
  <c r="W156" i="3"/>
  <c r="V156" i="3"/>
  <c r="U156" i="3"/>
  <c r="R156" i="3"/>
  <c r="W155" i="3"/>
  <c r="V155" i="3"/>
  <c r="U155" i="3"/>
  <c r="R155" i="3"/>
  <c r="W154" i="3"/>
  <c r="V154" i="3"/>
  <c r="U154" i="3"/>
  <c r="R154" i="3"/>
  <c r="W153" i="3"/>
  <c r="V153" i="3"/>
  <c r="U153" i="3"/>
  <c r="R153" i="3"/>
  <c r="W152" i="3"/>
  <c r="V152" i="3"/>
  <c r="U152" i="3"/>
  <c r="R152" i="3"/>
  <c r="W151" i="3"/>
  <c r="V151" i="3"/>
  <c r="U151" i="3"/>
  <c r="R151" i="3"/>
  <c r="W150" i="3"/>
  <c r="V150" i="3"/>
  <c r="U150" i="3"/>
  <c r="R150" i="3"/>
  <c r="W149" i="3"/>
  <c r="V149" i="3"/>
  <c r="U149" i="3"/>
  <c r="R149" i="3"/>
  <c r="W148" i="3"/>
  <c r="V148" i="3"/>
  <c r="U148" i="3"/>
  <c r="R148" i="3"/>
  <c r="W147" i="3"/>
  <c r="V147" i="3"/>
  <c r="U147" i="3"/>
  <c r="R147" i="3"/>
  <c r="W146" i="3"/>
  <c r="V146" i="3"/>
  <c r="U146" i="3"/>
  <c r="R146" i="3"/>
  <c r="W145" i="3"/>
  <c r="V145" i="3"/>
  <c r="U145" i="3"/>
  <c r="R145" i="3"/>
  <c r="W144" i="3"/>
  <c r="V144" i="3"/>
  <c r="U144" i="3"/>
  <c r="R144" i="3"/>
  <c r="W143" i="3"/>
  <c r="V143" i="3"/>
  <c r="U143" i="3"/>
  <c r="R143" i="3"/>
  <c r="W142" i="3"/>
  <c r="V142" i="3"/>
  <c r="U142" i="3"/>
  <c r="R142" i="3"/>
  <c r="W141" i="3"/>
  <c r="V141" i="3"/>
  <c r="U141" i="3"/>
  <c r="R141" i="3"/>
  <c r="W140" i="3"/>
  <c r="V140" i="3"/>
  <c r="U140" i="3"/>
  <c r="R140" i="3"/>
  <c r="W139" i="3"/>
  <c r="V139" i="3"/>
  <c r="U139" i="3"/>
  <c r="R139" i="3"/>
  <c r="W138" i="3"/>
  <c r="V138" i="3"/>
  <c r="U138" i="3"/>
  <c r="R138" i="3"/>
  <c r="W137" i="3"/>
  <c r="V137" i="3"/>
  <c r="U137" i="3"/>
  <c r="R137" i="3"/>
  <c r="W136" i="3"/>
  <c r="V136" i="3"/>
  <c r="U136" i="3"/>
  <c r="R136" i="3"/>
  <c r="W135" i="3"/>
  <c r="V135" i="3"/>
  <c r="U135" i="3"/>
  <c r="R135" i="3"/>
  <c r="W134" i="3"/>
  <c r="V134" i="3"/>
  <c r="U134" i="3"/>
  <c r="R134" i="3"/>
  <c r="W133" i="3"/>
  <c r="V133" i="3"/>
  <c r="U133" i="3"/>
  <c r="R133" i="3"/>
  <c r="W132" i="3"/>
  <c r="V132" i="3"/>
  <c r="U132" i="3"/>
  <c r="R132" i="3"/>
  <c r="W131" i="3"/>
  <c r="V131" i="3"/>
  <c r="U131" i="3"/>
  <c r="R131" i="3"/>
  <c r="W130" i="3"/>
  <c r="V130" i="3"/>
  <c r="U130" i="3"/>
  <c r="R130" i="3"/>
  <c r="W129" i="3"/>
  <c r="V129" i="3"/>
  <c r="U129" i="3"/>
  <c r="R129" i="3"/>
  <c r="W128" i="3"/>
  <c r="V128" i="3"/>
  <c r="U128" i="3"/>
  <c r="R128" i="3"/>
  <c r="W127" i="3"/>
  <c r="V127" i="3"/>
  <c r="U127" i="3"/>
  <c r="R127" i="3"/>
  <c r="W126" i="3"/>
  <c r="V126" i="3"/>
  <c r="U126" i="3"/>
  <c r="R126" i="3"/>
  <c r="W125" i="3"/>
  <c r="V125" i="3"/>
  <c r="U125" i="3"/>
  <c r="R125" i="3"/>
  <c r="W124" i="3"/>
  <c r="V124" i="3"/>
  <c r="U124" i="3"/>
  <c r="R124" i="3"/>
  <c r="W123" i="3"/>
  <c r="V123" i="3"/>
  <c r="U123" i="3"/>
  <c r="R123" i="3"/>
  <c r="W122" i="3"/>
  <c r="V122" i="3"/>
  <c r="U122" i="3"/>
  <c r="R122" i="3"/>
  <c r="W121" i="3"/>
  <c r="V121" i="3"/>
  <c r="U121" i="3"/>
  <c r="R121" i="3"/>
  <c r="W120" i="3"/>
  <c r="V120" i="3"/>
  <c r="U120" i="3"/>
  <c r="R120" i="3"/>
  <c r="W119" i="3"/>
  <c r="V119" i="3"/>
  <c r="U119" i="3"/>
  <c r="R119" i="3"/>
  <c r="W118" i="3"/>
  <c r="V118" i="3"/>
  <c r="U118" i="3"/>
  <c r="R118" i="3"/>
  <c r="W117" i="3"/>
  <c r="V117" i="3"/>
  <c r="U117" i="3"/>
  <c r="R117" i="3"/>
  <c r="W116" i="3"/>
  <c r="V116" i="3"/>
  <c r="U116" i="3"/>
  <c r="R116" i="3"/>
  <c r="W115" i="3"/>
  <c r="V115" i="3"/>
  <c r="U115" i="3"/>
  <c r="R115" i="3"/>
  <c r="W114" i="3"/>
  <c r="V114" i="3"/>
  <c r="U114" i="3"/>
  <c r="R114" i="3"/>
  <c r="W113" i="3"/>
  <c r="V113" i="3"/>
  <c r="U113" i="3"/>
  <c r="R113" i="3"/>
  <c r="W112" i="3"/>
  <c r="V112" i="3"/>
  <c r="U112" i="3"/>
  <c r="R112" i="3"/>
  <c r="W111" i="3"/>
  <c r="V111" i="3"/>
  <c r="U111" i="3"/>
  <c r="R111" i="3"/>
  <c r="W110" i="3"/>
  <c r="V110" i="3"/>
  <c r="U110" i="3"/>
  <c r="R110" i="3"/>
  <c r="W109" i="3"/>
  <c r="V109" i="3"/>
  <c r="U109" i="3"/>
  <c r="R109" i="3"/>
  <c r="W108" i="3"/>
  <c r="V108" i="3"/>
  <c r="U108" i="3"/>
  <c r="R108" i="3"/>
  <c r="W107" i="3"/>
  <c r="V107" i="3"/>
  <c r="U107" i="3"/>
  <c r="R107" i="3"/>
  <c r="W106" i="3"/>
  <c r="V106" i="3"/>
  <c r="U106" i="3"/>
  <c r="R106" i="3"/>
  <c r="W105" i="3"/>
  <c r="V105" i="3"/>
  <c r="U105" i="3"/>
  <c r="R105" i="3"/>
  <c r="W104" i="3"/>
  <c r="V104" i="3"/>
  <c r="U104" i="3"/>
  <c r="R104" i="3"/>
  <c r="W103" i="3"/>
  <c r="V103" i="3"/>
  <c r="U103" i="3"/>
  <c r="R103" i="3"/>
  <c r="W102" i="3"/>
  <c r="V102" i="3"/>
  <c r="U102" i="3"/>
  <c r="R102" i="3"/>
  <c r="W101" i="3"/>
  <c r="V101" i="3"/>
  <c r="U101" i="3"/>
  <c r="R101" i="3"/>
  <c r="W100" i="3"/>
  <c r="V100" i="3"/>
  <c r="U100" i="3"/>
  <c r="R100" i="3"/>
  <c r="W99" i="3"/>
  <c r="V99" i="3"/>
  <c r="U99" i="3"/>
  <c r="R99" i="3"/>
  <c r="W98" i="3"/>
  <c r="V98" i="3"/>
  <c r="U98" i="3"/>
  <c r="R98" i="3"/>
  <c r="W97" i="3"/>
  <c r="V97" i="3"/>
  <c r="U97" i="3"/>
  <c r="R97" i="3"/>
  <c r="W96" i="3"/>
  <c r="V96" i="3"/>
  <c r="U96" i="3"/>
  <c r="R96" i="3"/>
  <c r="W95" i="3"/>
  <c r="V95" i="3"/>
  <c r="U95" i="3"/>
  <c r="R95" i="3"/>
  <c r="W94" i="3"/>
  <c r="V94" i="3"/>
  <c r="U94" i="3"/>
  <c r="R94" i="3"/>
  <c r="W93" i="3"/>
  <c r="V93" i="3"/>
  <c r="U93" i="3"/>
  <c r="R93" i="3"/>
  <c r="W92" i="3"/>
  <c r="V92" i="3"/>
  <c r="U92" i="3"/>
  <c r="R92" i="3"/>
  <c r="W91" i="3"/>
  <c r="V91" i="3"/>
  <c r="U91" i="3"/>
  <c r="R91" i="3"/>
  <c r="W90" i="3"/>
  <c r="V90" i="3"/>
  <c r="U90" i="3"/>
  <c r="R90" i="3"/>
  <c r="W89" i="3"/>
  <c r="V89" i="3"/>
  <c r="U89" i="3"/>
  <c r="R89" i="3"/>
  <c r="W88" i="3"/>
  <c r="V88" i="3"/>
  <c r="U88" i="3"/>
  <c r="R88" i="3"/>
  <c r="W87" i="3"/>
  <c r="V87" i="3"/>
  <c r="U87" i="3"/>
  <c r="R87" i="3"/>
  <c r="W86" i="3"/>
  <c r="V86" i="3"/>
  <c r="U86" i="3"/>
  <c r="R86" i="3"/>
  <c r="W85" i="3"/>
  <c r="V85" i="3"/>
  <c r="U85" i="3"/>
  <c r="R85" i="3"/>
  <c r="W84" i="3"/>
  <c r="V84" i="3"/>
  <c r="U84" i="3"/>
  <c r="R84" i="3"/>
  <c r="W83" i="3"/>
  <c r="V83" i="3"/>
  <c r="U83" i="3"/>
  <c r="R83" i="3"/>
  <c r="W82" i="3"/>
  <c r="V82" i="3"/>
  <c r="U82" i="3"/>
  <c r="R82" i="3"/>
  <c r="W81" i="3"/>
  <c r="V81" i="3"/>
  <c r="U81" i="3"/>
  <c r="R81" i="3"/>
  <c r="W80" i="3"/>
  <c r="V80" i="3"/>
  <c r="U80" i="3"/>
  <c r="R80" i="3"/>
  <c r="W79" i="3"/>
  <c r="V79" i="3"/>
  <c r="U79" i="3"/>
  <c r="R79" i="3"/>
  <c r="W78" i="3"/>
  <c r="V78" i="3"/>
  <c r="U78" i="3"/>
  <c r="R78" i="3"/>
  <c r="W77" i="3"/>
  <c r="V77" i="3"/>
  <c r="U77" i="3"/>
  <c r="R77" i="3"/>
  <c r="W76" i="3"/>
  <c r="V76" i="3"/>
  <c r="U76" i="3"/>
  <c r="R76" i="3"/>
  <c r="W75" i="3"/>
  <c r="V75" i="3"/>
  <c r="U75" i="3"/>
  <c r="R75" i="3"/>
  <c r="W74" i="3"/>
  <c r="V74" i="3"/>
  <c r="U74" i="3"/>
  <c r="R74" i="3"/>
  <c r="W73" i="3"/>
  <c r="V73" i="3"/>
  <c r="U73" i="3"/>
  <c r="R73" i="3"/>
  <c r="W72" i="3"/>
  <c r="V72" i="3"/>
  <c r="U72" i="3"/>
  <c r="R72" i="3"/>
  <c r="W71" i="3"/>
  <c r="V71" i="3"/>
  <c r="U71" i="3"/>
  <c r="R71" i="3"/>
  <c r="W70" i="3"/>
  <c r="V70" i="3"/>
  <c r="U70" i="3"/>
  <c r="R70" i="3"/>
  <c r="W69" i="3"/>
  <c r="V69" i="3"/>
  <c r="U69" i="3"/>
  <c r="R69" i="3"/>
  <c r="W68" i="3"/>
  <c r="V68" i="3"/>
  <c r="U68" i="3"/>
  <c r="R68" i="3"/>
  <c r="W67" i="3"/>
  <c r="V67" i="3"/>
  <c r="U67" i="3"/>
  <c r="R67" i="3"/>
  <c r="W66" i="3"/>
  <c r="V66" i="3"/>
  <c r="U66" i="3"/>
  <c r="R66" i="3"/>
  <c r="W65" i="3"/>
  <c r="V65" i="3"/>
  <c r="U65" i="3"/>
  <c r="R65" i="3"/>
  <c r="W64" i="3"/>
  <c r="V64" i="3"/>
  <c r="U64" i="3"/>
  <c r="R64" i="3"/>
  <c r="W63" i="3"/>
  <c r="V63" i="3"/>
  <c r="U63" i="3"/>
  <c r="R63" i="3"/>
  <c r="W62" i="3"/>
  <c r="V62" i="3"/>
  <c r="U62" i="3"/>
  <c r="R62" i="3"/>
  <c r="W61" i="3"/>
  <c r="V61" i="3"/>
  <c r="U61" i="3"/>
  <c r="R61" i="3"/>
  <c r="W60" i="3"/>
  <c r="V60" i="3"/>
  <c r="U60" i="3"/>
  <c r="R60" i="3"/>
  <c r="W59" i="3"/>
  <c r="V59" i="3"/>
  <c r="U59" i="3"/>
  <c r="R59" i="3"/>
  <c r="W58" i="3"/>
  <c r="V58" i="3"/>
  <c r="U58" i="3"/>
  <c r="R58" i="3"/>
  <c r="W57" i="3"/>
  <c r="V57" i="3"/>
  <c r="U57" i="3"/>
  <c r="R57" i="3"/>
  <c r="W56" i="3"/>
  <c r="V56" i="3"/>
  <c r="U56" i="3"/>
  <c r="R56" i="3"/>
  <c r="W55" i="3"/>
  <c r="V55" i="3"/>
  <c r="U55" i="3"/>
  <c r="R55" i="3"/>
  <c r="W54" i="3"/>
  <c r="V54" i="3"/>
  <c r="U54" i="3"/>
  <c r="R54" i="3"/>
  <c r="W53" i="3"/>
  <c r="V53" i="3"/>
  <c r="U53" i="3"/>
  <c r="R53" i="3"/>
  <c r="W52" i="3"/>
  <c r="V52" i="3"/>
  <c r="U52" i="3"/>
  <c r="R52" i="3"/>
  <c r="W51" i="3"/>
  <c r="V51" i="3"/>
  <c r="U51" i="3"/>
  <c r="R51" i="3"/>
  <c r="W50" i="3"/>
  <c r="V50" i="3"/>
  <c r="U50" i="3"/>
  <c r="R50" i="3"/>
  <c r="W49" i="3"/>
  <c r="V49" i="3"/>
  <c r="U49" i="3"/>
  <c r="R49" i="3"/>
  <c r="W48" i="3"/>
  <c r="V48" i="3"/>
  <c r="U48" i="3"/>
  <c r="R48" i="3"/>
  <c r="W47" i="3"/>
  <c r="V47" i="3"/>
  <c r="U47" i="3"/>
  <c r="R47" i="3"/>
  <c r="W46" i="3"/>
  <c r="V46" i="3"/>
  <c r="U46" i="3"/>
  <c r="R46" i="3"/>
  <c r="W45" i="3"/>
  <c r="V45" i="3"/>
  <c r="U45" i="3"/>
  <c r="R45" i="3"/>
  <c r="W44" i="3"/>
  <c r="V44" i="3"/>
  <c r="U44" i="3"/>
  <c r="R44" i="3"/>
  <c r="W43" i="3"/>
  <c r="V43" i="3"/>
  <c r="U43" i="3"/>
  <c r="R43" i="3"/>
  <c r="W42" i="3"/>
  <c r="V42" i="3"/>
  <c r="U42" i="3"/>
  <c r="R42" i="3"/>
  <c r="W41" i="3"/>
  <c r="V41" i="3"/>
  <c r="U41" i="3"/>
  <c r="R41" i="3"/>
  <c r="W40" i="3"/>
  <c r="V40" i="3"/>
  <c r="U40" i="3"/>
  <c r="R40" i="3"/>
  <c r="W39" i="3"/>
  <c r="V39" i="3"/>
  <c r="U39" i="3"/>
  <c r="R39" i="3"/>
  <c r="W38" i="3"/>
  <c r="V38" i="3"/>
  <c r="U38" i="3"/>
  <c r="R38" i="3"/>
  <c r="W37" i="3"/>
  <c r="V37" i="3"/>
  <c r="U37" i="3"/>
  <c r="R37" i="3"/>
  <c r="W36" i="3"/>
  <c r="V36" i="3"/>
  <c r="U36" i="3"/>
  <c r="R36" i="3"/>
  <c r="W35" i="3"/>
  <c r="V35" i="3"/>
  <c r="U35" i="3"/>
  <c r="R35" i="3"/>
  <c r="W34" i="3"/>
  <c r="V34" i="3"/>
  <c r="U34" i="3"/>
  <c r="R34" i="3"/>
  <c r="W33" i="3"/>
  <c r="V33" i="3"/>
  <c r="U33" i="3"/>
  <c r="R33" i="3"/>
  <c r="W32" i="3"/>
  <c r="V32" i="3"/>
  <c r="U32" i="3"/>
  <c r="R32" i="3"/>
  <c r="W31" i="3"/>
  <c r="V31" i="3"/>
  <c r="U31" i="3"/>
  <c r="R31" i="3"/>
  <c r="W30" i="3"/>
  <c r="V30" i="3"/>
  <c r="U30" i="3"/>
  <c r="R30" i="3"/>
  <c r="W29" i="3"/>
  <c r="V29" i="3"/>
  <c r="U29" i="3"/>
  <c r="R29" i="3"/>
  <c r="W28" i="3"/>
  <c r="V28" i="3"/>
  <c r="U28" i="3"/>
  <c r="R28" i="3"/>
  <c r="W27" i="3"/>
  <c r="V27" i="3"/>
  <c r="U27" i="3"/>
  <c r="R27" i="3"/>
  <c r="W26" i="3"/>
  <c r="V26" i="3"/>
  <c r="U26" i="3"/>
  <c r="R26" i="3"/>
  <c r="W25" i="3"/>
  <c r="V25" i="3"/>
  <c r="U25" i="3"/>
  <c r="R25" i="3"/>
  <c r="W24" i="3"/>
  <c r="V24" i="3"/>
  <c r="U24" i="3"/>
  <c r="R24" i="3"/>
  <c r="W23" i="3"/>
  <c r="V23" i="3"/>
  <c r="U23" i="3"/>
  <c r="R23" i="3"/>
  <c r="W22" i="3"/>
  <c r="V22" i="3"/>
  <c r="U22" i="3"/>
  <c r="R22" i="3"/>
  <c r="W21" i="3"/>
  <c r="V21" i="3"/>
  <c r="U21" i="3"/>
  <c r="R21" i="3"/>
  <c r="W20" i="3"/>
  <c r="V20" i="3"/>
  <c r="U20" i="3"/>
  <c r="R20" i="3"/>
  <c r="W19" i="3"/>
  <c r="V19" i="3"/>
  <c r="U19" i="3"/>
  <c r="R19" i="3"/>
  <c r="W18" i="3"/>
  <c r="V18" i="3"/>
  <c r="U18" i="3"/>
  <c r="R18" i="3"/>
  <c r="W17" i="3"/>
  <c r="V17" i="3"/>
  <c r="U17" i="3"/>
  <c r="R17" i="3"/>
  <c r="W16" i="3"/>
  <c r="V16" i="3"/>
  <c r="U16" i="3"/>
  <c r="R16" i="3"/>
  <c r="W15" i="3"/>
  <c r="V15" i="3"/>
  <c r="D5" i="7"/>
  <c r="R15" i="3"/>
  <c r="W14" i="3"/>
  <c r="V14" i="3"/>
  <c r="U14" i="3"/>
  <c r="R14" i="3"/>
  <c r="W13" i="3"/>
  <c r="V13" i="3"/>
  <c r="R13" i="3"/>
  <c r="W12" i="3"/>
  <c r="V12" i="3"/>
  <c r="U12" i="3"/>
  <c r="R12" i="3"/>
  <c r="W11" i="3"/>
  <c r="V11" i="3"/>
  <c r="U11" i="3"/>
  <c r="R11" i="3"/>
  <c r="W10" i="3"/>
  <c r="V10" i="3"/>
  <c r="U10" i="3"/>
  <c r="R10" i="3"/>
  <c r="W9" i="3"/>
  <c r="V9" i="3"/>
  <c r="U9" i="3"/>
  <c r="R9" i="3"/>
  <c r="W8" i="3"/>
  <c r="V8" i="3"/>
  <c r="U8" i="3"/>
  <c r="R8" i="3"/>
  <c r="W7" i="3"/>
  <c r="V7" i="3"/>
  <c r="U7" i="3"/>
  <c r="R7" i="3"/>
  <c r="W6" i="3"/>
  <c r="V6" i="3"/>
  <c r="U6" i="3"/>
  <c r="R6" i="3"/>
  <c r="W5" i="3"/>
  <c r="V5" i="3"/>
  <c r="D6" i="7"/>
  <c r="R5" i="3"/>
  <c r="A53" i="1"/>
  <c r="A52" i="1"/>
  <c r="A51" i="1"/>
  <c r="A50" i="1"/>
  <c r="A49" i="1"/>
  <c r="A48" i="1"/>
  <c r="A47" i="1"/>
  <c r="A46" i="1"/>
  <c r="O45" i="1"/>
  <c r="A45" i="1"/>
  <c r="O44" i="1"/>
  <c r="A44" i="1"/>
  <c r="O43" i="1"/>
  <c r="A43" i="1"/>
  <c r="O42" i="1"/>
  <c r="A42" i="1"/>
  <c r="O17" i="1"/>
  <c r="H17" i="1"/>
  <c r="O16" i="1"/>
  <c r="H16" i="1"/>
  <c r="O15" i="1"/>
  <c r="H15" i="1"/>
  <c r="E6" i="9" l="1"/>
  <c r="E7" i="9"/>
  <c r="E8" i="9"/>
  <c r="E5" i="9"/>
  <c r="U5" i="3"/>
  <c r="U13" i="3"/>
  <c r="D7" i="7"/>
  <c r="U15" i="3"/>
  <c r="G6" i="4"/>
  <c r="G10" i="4"/>
  <c r="G16" i="4"/>
  <c r="G11" i="4"/>
  <c r="G9" i="4"/>
  <c r="G15" i="4"/>
  <c r="G14" i="4"/>
  <c r="G17" i="4"/>
  <c r="G12" i="4"/>
  <c r="G8" i="4"/>
  <c r="G7" i="4"/>
  <c r="G13" i="4"/>
  <c r="U759" i="3"/>
  <c r="F6" i="5" s="1"/>
  <c r="U760" i="3"/>
  <c r="F7" i="5" s="1"/>
  <c r="U761" i="3"/>
  <c r="F8" i="5" s="1"/>
  <c r="U762" i="3"/>
  <c r="U763" i="3"/>
  <c r="U764" i="3"/>
  <c r="U765" i="3"/>
  <c r="U766" i="3"/>
  <c r="U767" i="3"/>
  <c r="U768" i="3"/>
  <c r="U769" i="3"/>
  <c r="U770" i="3"/>
  <c r="U758" i="3"/>
  <c r="F5" i="5" s="1"/>
  <c r="P17" i="1"/>
  <c r="P15" i="1"/>
  <c r="B11" i="10"/>
  <c r="F9" i="1" s="1"/>
  <c r="E5" i="5"/>
  <c r="E8" i="5"/>
  <c r="E6" i="5"/>
  <c r="P16" i="1"/>
  <c r="E7" i="5"/>
  <c r="B8" i="10"/>
  <c r="B9" i="10"/>
  <c r="F5" i="1" s="1"/>
  <c r="D15" i="8"/>
  <c r="C14" i="8"/>
  <c r="C51" i="1" s="1"/>
  <c r="B13" i="8"/>
  <c r="B50" i="1" s="1"/>
  <c r="D11" i="8"/>
  <c r="C10" i="8"/>
  <c r="C47" i="1" s="1"/>
  <c r="B9" i="8"/>
  <c r="B46" i="1" s="1"/>
  <c r="D7" i="8"/>
  <c r="C6" i="8"/>
  <c r="C43" i="1" s="1"/>
  <c r="B5" i="8"/>
  <c r="B42" i="1" s="1"/>
  <c r="D16" i="8"/>
  <c r="C15" i="8"/>
  <c r="C52" i="1" s="1"/>
  <c r="B14" i="8"/>
  <c r="B51" i="1" s="1"/>
  <c r="D12" i="8"/>
  <c r="C11" i="8"/>
  <c r="C48" i="1" s="1"/>
  <c r="B10" i="8"/>
  <c r="B47" i="1" s="1"/>
  <c r="D8" i="8"/>
  <c r="C7" i="8"/>
  <c r="C44" i="1" s="1"/>
  <c r="B6" i="8"/>
  <c r="B43" i="1" s="1"/>
  <c r="C16" i="8"/>
  <c r="C53" i="1" s="1"/>
  <c r="B15" i="8"/>
  <c r="B52" i="1" s="1"/>
  <c r="D13" i="8"/>
  <c r="C12" i="8"/>
  <c r="C49" i="1" s="1"/>
  <c r="B11" i="8"/>
  <c r="B48" i="1" s="1"/>
  <c r="D9" i="8"/>
  <c r="C8" i="8"/>
  <c r="C45" i="1" s="1"/>
  <c r="B7" i="8"/>
  <c r="B44" i="1" s="1"/>
  <c r="D5" i="8"/>
  <c r="B16" i="8"/>
  <c r="B53" i="1" s="1"/>
  <c r="D14" i="8"/>
  <c r="C13" i="8"/>
  <c r="C50" i="1" s="1"/>
  <c r="B12" i="8"/>
  <c r="B49" i="1" s="1"/>
  <c r="D10" i="8"/>
  <c r="C9" i="8"/>
  <c r="C46" i="1" s="1"/>
  <c r="B8" i="8"/>
  <c r="B45" i="1" s="1"/>
  <c r="D6" i="8"/>
  <c r="C5" i="8"/>
  <c r="C42" i="1" s="1"/>
  <c r="D7" i="9"/>
  <c r="R44" i="1" s="1"/>
  <c r="C6" i="9"/>
  <c r="Q43" i="1" s="1"/>
  <c r="B5" i="9"/>
  <c r="P42" i="1" s="1"/>
  <c r="D8" i="9"/>
  <c r="R45" i="1" s="1"/>
  <c r="C7" i="9"/>
  <c r="Q44" i="1" s="1"/>
  <c r="B6" i="9"/>
  <c r="P43" i="1" s="1"/>
  <c r="C8" i="9"/>
  <c r="Q45" i="1" s="1"/>
  <c r="B7" i="9"/>
  <c r="P44" i="1" s="1"/>
  <c r="D5" i="9"/>
  <c r="R42" i="1" s="1"/>
  <c r="B8" i="9"/>
  <c r="P45" i="1" s="1"/>
  <c r="D6" i="9"/>
  <c r="R43" i="1" s="1"/>
  <c r="C5" i="9"/>
  <c r="Q42" i="1" s="1"/>
  <c r="G5" i="4" l="1"/>
  <c r="B10" i="10"/>
  <c r="B15" i="1" l="1"/>
  <c r="C15" i="1"/>
  <c r="A16" i="1"/>
  <c r="A15" i="1"/>
  <c r="B18" i="1"/>
  <c r="A18" i="1"/>
  <c r="C17" i="1"/>
  <c r="A19" i="1"/>
  <c r="B19" i="1"/>
  <c r="B17" i="1"/>
  <c r="C19" i="1"/>
  <c r="C16" i="1"/>
  <c r="A17" i="1"/>
  <c r="C18" i="1"/>
  <c r="B16" i="1"/>
</calcChain>
</file>

<file path=xl/sharedStrings.xml><?xml version="1.0" encoding="utf-8"?>
<sst xmlns="http://schemas.openxmlformats.org/spreadsheetml/2006/main" count="4985" uniqueCount="388">
  <si>
    <t>SALES PERFORMANCE &amp; REVENUE ANALYSIS</t>
  </si>
  <si>
    <t>Executive dashboard | Excel 2010 compatible</t>
  </si>
  <si>
    <t>Total Revenue</t>
  </si>
  <si>
    <t>Gross Profit</t>
  </si>
  <si>
    <t>Orders</t>
  </si>
  <si>
    <t>Units Sold</t>
  </si>
  <si>
    <t>Avg Order Value</t>
  </si>
  <si>
    <t>Avg Delivery Days</t>
  </si>
  <si>
    <t>Salesperson</t>
  </si>
  <si>
    <t>Revenue</t>
  </si>
  <si>
    <t>Product Category</t>
  </si>
  <si>
    <t>State</t>
  </si>
  <si>
    <t>Customer Type</t>
  </si>
  <si>
    <t>Delivery Bucket</t>
  </si>
  <si>
    <t>Month</t>
  </si>
  <si>
    <t>Avg Days to Deliver</t>
  </si>
  <si>
    <t>Interactive Salesperson View</t>
  </si>
  <si>
    <t>Select salesperson:</t>
  </si>
  <si>
    <t>Aanya Zhang</t>
  </si>
  <si>
    <t>Selected Revenue</t>
  </si>
  <si>
    <t>Selected Orders</t>
  </si>
  <si>
    <t>Selected Units</t>
  </si>
  <si>
    <t>Selected Gross Profit</t>
  </si>
  <si>
    <t>Sales Performance &amp; Revenue Analysis</t>
  </si>
  <si>
    <t>Integrated Excel 2010 portfolio + practice workbook</t>
  </si>
  <si>
    <t>Project Goal</t>
  </si>
  <si>
    <t>Combine the skills from the three sales-analysis exercises into one realistic end-to-end reporting project.</t>
  </si>
  <si>
    <t>Target Roles</t>
  </si>
  <si>
    <t>Data Analyst | MIS Executive / MIS Analyst | Reporting Analyst</t>
  </si>
  <si>
    <t>Excel Version</t>
  </si>
  <si>
    <t>Designed for Excel 2010: SUMIF/SUMIFS, COUNTIF/COUNTIFS, AVERAGEIF, IF, TEXT, MONTH, VLOOKUP/INDEX-MATCH, Pivot-style summaries and charts.</t>
  </si>
  <si>
    <t>Business Questions</t>
  </si>
  <si>
    <t>How much revenue are we generating? Which salespeople, customers, products/categories and states drive performance? What are the monthly trends? How do discounts and delivery time affect results?</t>
  </si>
  <si>
    <t>Workflow</t>
  </si>
  <si>
    <t>Raw Orders → Cleaning/Calculated Fields → KPI &amp; Analysis Tables → Dashboard → Practice Lab</t>
  </si>
  <si>
    <t>Important</t>
  </si>
  <si>
    <t>The three source workbooks use the same 976-order dataset with different exercises/columns. They are NOT appended together, because doing so would double/triple-count the same orders. Instead, their distinct skills are integrated into one master workbook.</t>
  </si>
  <si>
    <t>Master Data</t>
  </si>
  <si>
    <t>The Orders_Clean sheet uses the richest version of the order data and adds the useful month/profit/delivery calculations from the other exercises.</t>
  </si>
  <si>
    <t>Portfolio Tip</t>
  </si>
  <si>
    <t>For LinkedIn/GitHub, present this as one business case: 'Built an Excel 2010 sales reporting solution to analyze revenue, sales performance, customer segments, geography, product mix and delivery metrics.'</t>
  </si>
  <si>
    <t>Orders_Clean</t>
  </si>
  <si>
    <t>Order No</t>
  </si>
  <si>
    <t>Order Date</t>
  </si>
  <si>
    <t>Days to Deliver</t>
  </si>
  <si>
    <t>Order Priority</t>
  </si>
  <si>
    <t>Product Name</t>
  </si>
  <si>
    <t>Cost Price</t>
  </si>
  <si>
    <t>Retail Price</t>
  </si>
  <si>
    <t>Profit Margin</t>
  </si>
  <si>
    <t>Order Quantity</t>
  </si>
  <si>
    <t>Sub Total</t>
  </si>
  <si>
    <t>Discount %</t>
  </si>
  <si>
    <t>Order Month</t>
  </si>
  <si>
    <t>Gross Cost</t>
  </si>
  <si>
    <t>Profit %</t>
  </si>
  <si>
    <t>Data Quality Flag</t>
  </si>
  <si>
    <t>NSW</t>
  </si>
  <si>
    <t>Consumer</t>
  </si>
  <si>
    <t>Connor Betts</t>
  </si>
  <si>
    <t>Office Supplies</t>
  </si>
  <si>
    <t>Not Specified</t>
  </si>
  <si>
    <t>Apex Box Cutter Scissors</t>
  </si>
  <si>
    <t>WA</t>
  </si>
  <si>
    <t>Yvette Biti</t>
  </si>
  <si>
    <t>Critical</t>
  </si>
  <si>
    <t>Smiths Pushpins</t>
  </si>
  <si>
    <t>Small Business</t>
  </si>
  <si>
    <t>Medium</t>
  </si>
  <si>
    <t>Artisan Durable Poly Binders</t>
  </si>
  <si>
    <t>Low</t>
  </si>
  <si>
    <t>Smiths Bulk Pack Metal Binder Clips</t>
  </si>
  <si>
    <t>Corporate</t>
  </si>
  <si>
    <t>Tina Carlton</t>
  </si>
  <si>
    <t>Smiths Pen Style Liquid Stix; Assorted (yellow, pink, green, blue, orange), 5/Pack</t>
  </si>
  <si>
    <t>Phoebe Gour</t>
  </si>
  <si>
    <t>Not Specifiedd</t>
  </si>
  <si>
    <t>Xit Blank Computer Paper</t>
  </si>
  <si>
    <t>VIC</t>
  </si>
  <si>
    <t>Natasha Song</t>
  </si>
  <si>
    <t>Beekin 6 Outlet Metallic Surge Strip</t>
  </si>
  <si>
    <t>Technology</t>
  </si>
  <si>
    <t>300 Series Non-Flip</t>
  </si>
  <si>
    <t>Radhya Staples</t>
  </si>
  <si>
    <t>Leighton Forrest</t>
  </si>
  <si>
    <t>Furniture</t>
  </si>
  <si>
    <t>Aluminum Document Frame</t>
  </si>
  <si>
    <t>Home Office</t>
  </si>
  <si>
    <t>Preston Senome</t>
  </si>
  <si>
    <t>Pizazz Colored Pencils</t>
  </si>
  <si>
    <t>High</t>
  </si>
  <si>
    <t>Binder Clips by OIC</t>
  </si>
  <si>
    <t>Adesso Programmable 142-Key Keyboard</t>
  </si>
  <si>
    <t>Apex Office Executive Series Stainless Steel Trimmers</t>
  </si>
  <si>
    <t>Artisan Binder Labels</t>
  </si>
  <si>
    <t>Steady Liquid Accent Tank-Style Highlighters</t>
  </si>
  <si>
    <t>Nicholas Fernandes</t>
  </si>
  <si>
    <t>Smiths Metal Binder Clips</t>
  </si>
  <si>
    <t>Mihael Khan</t>
  </si>
  <si>
    <t>TypeRight  Top-Opening Peel &amp; Seel  Envelopes, Gray</t>
  </si>
  <si>
    <t>Samantha Chairs</t>
  </si>
  <si>
    <t>Artisan 481 Labels</t>
  </si>
  <si>
    <t>Economy Rollaway Files</t>
  </si>
  <si>
    <t>Alto Parchment Paper, Assorted Colors</t>
  </si>
  <si>
    <t>Emerson C82 Color Inkjet Printer</t>
  </si>
  <si>
    <t>Steady Liquid Accent Highlighters</t>
  </si>
  <si>
    <t>Pizazz Drawing Pencil Set</t>
  </si>
  <si>
    <t>Artisan Flip-Chart Easel Binder, Black</t>
  </si>
  <si>
    <t>Charlie Bui</t>
  </si>
  <si>
    <t>Alto Perma 2700 Stacking Storage Drawers</t>
  </si>
  <si>
    <t>Cando PC940 Copier</t>
  </si>
  <si>
    <t>3Max Polarizing Light Filter Sleeves</t>
  </si>
  <si>
    <t>Binder Posts</t>
  </si>
  <si>
    <t>TechSavi Access Keyboard</t>
  </si>
  <si>
    <t>Unpadded Memo Slips</t>
  </si>
  <si>
    <t>UGen RF Keyboard</t>
  </si>
  <si>
    <t>Artisan Arch Ring Binders</t>
  </si>
  <si>
    <t>DrawIt Colored Pencils</t>
  </si>
  <si>
    <t>Alto Memo Cubes</t>
  </si>
  <si>
    <t>Fluorescent Highlighters by DrawIt</t>
  </si>
  <si>
    <t>Steady 52201 APSCO Electric Pencil Sharpener</t>
  </si>
  <si>
    <t>Artisan 474 Labels</t>
  </si>
  <si>
    <t>Multi-Use Personal File Cart and Caster Set, Three Stacking Bins</t>
  </si>
  <si>
    <t>Smiths General Use 3-Ring Binders</t>
  </si>
  <si>
    <t>Colored Envelopes</t>
  </si>
  <si>
    <t>Artisan Round Ring Poly Binders</t>
  </si>
  <si>
    <t>12 Colored Short Pencils</t>
  </si>
  <si>
    <t>Alliance Rubber Bands</t>
  </si>
  <si>
    <t>Deluxe Rollaway Locking File with Drawer</t>
  </si>
  <si>
    <t>Steady Pocket Accent Highlighters</t>
  </si>
  <si>
    <t>UGen Ultra Professional Cordless Optical Suite</t>
  </si>
  <si>
    <t>Bagged Rubber Bands</t>
  </si>
  <si>
    <t>Laser Neon Mac Format Diskettes, 10/Pack</t>
  </si>
  <si>
    <t>Artisan Hanging File Binders</t>
  </si>
  <si>
    <t>Artisan Printable Repositionable Plastic Tabs</t>
  </si>
  <si>
    <t>OIC Colored Binder Clips, Assorted Sizes</t>
  </si>
  <si>
    <t>Binding Machine Supplies</t>
  </si>
  <si>
    <t>Artisan Binding System Hidden Tab Executive Style Index Sets</t>
  </si>
  <si>
    <t>Artisan Hi-Liter GlideStik Fluorescent Highlighter, Yellow Ink</t>
  </si>
  <si>
    <t>Beekin 105-Key Black Keyboard</t>
  </si>
  <si>
    <t>Multimedia Mailers</t>
  </si>
  <si>
    <t>Self-Adhesive Ring Binder Labels</t>
  </si>
  <si>
    <t>Artisan 487 Labels</t>
  </si>
  <si>
    <t>TechSavi Cordless Navigator Duo</t>
  </si>
  <si>
    <t>600 Series Non-Flip</t>
  </si>
  <si>
    <t>Colored Push Pins</t>
  </si>
  <si>
    <t>Artisan 478 Labels</t>
  </si>
  <si>
    <t>HFX LaserJet 3310 Copier</t>
  </si>
  <si>
    <t>Pizazz Dustless Chalk Sticks</t>
  </si>
  <si>
    <t>Smiths Standard Envelopes</t>
  </si>
  <si>
    <t>1726 Digital Answering Machine</t>
  </si>
  <si>
    <t>Smiths Bulldog Clip</t>
  </si>
  <si>
    <t>Artisan 479 Labels</t>
  </si>
  <si>
    <t>Alto Perma 3000 Stacking Storage Drawers</t>
  </si>
  <si>
    <t>Desktop 3-Pocket Hot File</t>
  </si>
  <si>
    <t>DrawIt Pizazz Watercolor Pencils, 10-Color Set with Brush</t>
  </si>
  <si>
    <t>TechSavi Cordless Elite Duo</t>
  </si>
  <si>
    <t>Angle-D Binders with Locking Rings, Label Holders</t>
  </si>
  <si>
    <t>Apex Forged Steel Scissors with Black Enamel Handles</t>
  </si>
  <si>
    <t>Artisan Legal 4-Ring Binder</t>
  </si>
  <si>
    <t>TechSavi Cordless Access Keyboard</t>
  </si>
  <si>
    <t>Apex Design Stainless Steel Bent Scissors</t>
  </si>
  <si>
    <t>Col-Erase Pencils with Erasers</t>
  </si>
  <si>
    <t>Artisan Heavy-Duty EZD  Binder With Locking Rings</t>
  </si>
  <si>
    <t>Assorted Color Push Pins</t>
  </si>
  <si>
    <t>Steady Colorific Colored Pencils, 12/Box</t>
  </si>
  <si>
    <t>Laser DVD-RAM discs</t>
  </si>
  <si>
    <t>Steady EarthWrite Recycled Pencils, Medium Soft, #2</t>
  </si>
  <si>
    <t>3Max Organizer Strips</t>
  </si>
  <si>
    <t>Office Shears by Apex</t>
  </si>
  <si>
    <t>3Max Polarizing Task Lamp with Clamp Arm, Light Gray</t>
  </si>
  <si>
    <t>Wirebound Voice Message Log Book</t>
  </si>
  <si>
    <t>Emerson Stylus 1520 Color Inkjet Printer</t>
  </si>
  <si>
    <t>Apex Straight Scissors</t>
  </si>
  <si>
    <t>Emerson LQ-870 Dot Matrix Printer</t>
  </si>
  <si>
    <t>Smiths SlimLine Pencil Sharpener</t>
  </si>
  <si>
    <t>Artisan 48 Labels</t>
  </si>
  <si>
    <t>Artisan Hi-Liter EverBold Pen Style Fluorescent Highlighters, 4/Pack</t>
  </si>
  <si>
    <t>Message Book, One Form per Page</t>
  </si>
  <si>
    <t>OIC Thumb-Tacks</t>
  </si>
  <si>
    <t>TypeRight Side-Opening Peel &amp; Seel Expanding Envelopes</t>
  </si>
  <si>
    <t>Wirebound Message Book, 4 per Page</t>
  </si>
  <si>
    <t>Artisan Reinforcements for Hole-Punch Pages</t>
  </si>
  <si>
    <t>Artisan Hi-Liter Fluorescent Desk Style Markers</t>
  </si>
  <si>
    <t>DrawIt Colored Pencils, 48-Color Set</t>
  </si>
  <si>
    <t>UGen Ultra Cordless Optical Suite</t>
  </si>
  <si>
    <t>PastelOcean Color Pencil Set</t>
  </si>
  <si>
    <t>Artisan Poly Binder Pockets</t>
  </si>
  <si>
    <t>600 Series Flip</t>
  </si>
  <si>
    <t>Ames Color-File Green Diamond Border X-ray Mailers</t>
  </si>
  <si>
    <t>Lumi Crayons</t>
  </si>
  <si>
    <t>Artisan Hi-Liter Pen Style Six-Color Fluorescent Set</t>
  </si>
  <si>
    <t>Blackstonian Pencils</t>
  </si>
  <si>
    <t>Creator Colored Pencils</t>
  </si>
  <si>
    <t>Artisan Durable Binders</t>
  </si>
  <si>
    <t>Smiths Colored Bar Computer Paper</t>
  </si>
  <si>
    <t>Security-Tint Envelopes</t>
  </si>
  <si>
    <t>Artisan Non-Stick Binders</t>
  </si>
  <si>
    <t>EcoTones Memo Sheets</t>
  </si>
  <si>
    <t>Artisan Hi-Liter Smear-Safe Highlighters</t>
  </si>
  <si>
    <t>Artisan Hole Reinforcements</t>
  </si>
  <si>
    <t>Steady Major Accent Highlighters</t>
  </si>
  <si>
    <t>Airmail Envelopes</t>
  </si>
  <si>
    <t>Artisan File Folder Labels</t>
  </si>
  <si>
    <t>Alto Keyboard-In-A-Box</t>
  </si>
  <si>
    <t>Apex Preferred Stainless Steel Scissors</t>
  </si>
  <si>
    <t>Cando S750 Color Inkjet Printer</t>
  </si>
  <si>
    <t>Brown Kraft Recycled Envelopes</t>
  </si>
  <si>
    <t>Barrel Sharpener</t>
  </si>
  <si>
    <t>OIC Bulk Pack Metal Binder Clips</t>
  </si>
  <si>
    <t>Artisan Hi-Liter Comfort Grip Fluorescent Highlighter, Yellow Ink</t>
  </si>
  <si>
    <t>Alto Six-Outlet Power Strip, 4 Cord Length</t>
  </si>
  <si>
    <t>TechSavi Internet Navigator Keyboard</t>
  </si>
  <si>
    <t>Apex Elite Stainless Steel Scissors</t>
  </si>
  <si>
    <t>Smiths Gold Paper Clips</t>
  </si>
  <si>
    <t>Smiths File Caddy</t>
  </si>
  <si>
    <t>24 Capacity Maxi Data Binder Racks, Pearl</t>
  </si>
  <si>
    <t>Economy Binders</t>
  </si>
  <si>
    <t>Adams "While You Were Out" Message Pads</t>
  </si>
  <si>
    <t>Alto 3-Hole Punch</t>
  </si>
  <si>
    <t>Creator Anti Dust Chalk, 12/Pack</t>
  </si>
  <si>
    <t>Smiths Colored Interoffice Envelopes</t>
  </si>
  <si>
    <t>Smiths Paper Clips</t>
  </si>
  <si>
    <t>Steady Colorific Eraseable Coloring Pencils, 12 Count</t>
  </si>
  <si>
    <t>Self-Adhesive Removable Labels</t>
  </si>
  <si>
    <t>HFX 610 Color Digital Copier / Printer</t>
  </si>
  <si>
    <t>TypeRight  Top-Opening Peel &amp; Seel Envelopes, Plain White</t>
  </si>
  <si>
    <t>HFX 6S Scientific Calculator</t>
  </si>
  <si>
    <t>TechSavi Cordless Keyboard</t>
  </si>
  <si>
    <t>210 Trimline Phone, White</t>
  </si>
  <si>
    <t>Salesperson Performance</t>
  </si>
  <si>
    <t>Revenue, order volume, units, average order value and gross profit by salesperson.</t>
  </si>
  <si>
    <t>Rank</t>
  </si>
  <si>
    <t>Customer Segment Analysis</t>
  </si>
  <si>
    <t>Revenue and order contribution by customer type.</t>
  </si>
  <si>
    <t>State / Territory Performance</t>
  </si>
  <si>
    <t>Geographic revenue and volume reporting.</t>
  </si>
  <si>
    <t>Product Category Performance</t>
  </si>
  <si>
    <t>Unit sales, revenue and gross profit by category.</t>
  </si>
  <si>
    <t>Monthly Revenue Trend</t>
  </si>
  <si>
    <t>Monthly reporting for trend analysis and management reporting.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</si>
  <si>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</si>
  <si>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</si>
  <si>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</si>
  <si>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</si>
  <si>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</si>
  <si>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</si>
  <si>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</si>
  <si>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</si>
  <si>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</si>
  <si>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</si>
  <si>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</si>
  <si>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</si>
  <si>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Delivery Performance</t>
  </si>
  <si>
    <t>Uses Days to Deliver to create operational reporting buckets.</t>
  </si>
  <si>
    <t>Fast</t>
  </si>
  <si>
    <t>Standard</t>
  </si>
  <si>
    <t>Slow</t>
  </si>
  <si>
    <t>Very Slow</t>
  </si>
  <si>
    <t>KPI Summary</t>
  </si>
  <si>
    <t>Management-ready KPI calculations using Excel 2010 formulas.</t>
  </si>
  <si>
    <t>Total Orders</t>
  </si>
  <si>
    <t>Profit Margin %</t>
  </si>
  <si>
    <t>Average Order Value</t>
  </si>
  <si>
    <t>Average Discount %</t>
  </si>
  <si>
    <t>Average Days to Deliver</t>
  </si>
  <si>
    <t>Practice Lab</t>
  </si>
  <si>
    <t>Use the integrated workbook to practice the same skills covered across the three original projects.</t>
  </si>
  <si>
    <t>#</t>
  </si>
  <si>
    <t>Practice Area</t>
  </si>
  <si>
    <t>Task</t>
  </si>
  <si>
    <t>Excel Skill</t>
  </si>
  <si>
    <t>1</t>
  </si>
  <si>
    <t>Basic formula</t>
  </si>
  <si>
    <t>Calculate total revenue from Orders_Clean using SUM.</t>
  </si>
  <si>
    <t>SUM</t>
  </si>
  <si>
    <t>2</t>
  </si>
  <si>
    <t>Conditional calculation</t>
  </si>
  <si>
    <t>Calculate revenue for Corporate customers using SUMIF.</t>
  </si>
  <si>
    <t>SUMIF</t>
  </si>
  <si>
    <t>3</t>
  </si>
  <si>
    <t>Counting</t>
  </si>
  <si>
    <t>Count orders handled by each salesperson using COUNTIF.</t>
  </si>
  <si>
    <t>COUNTIF</t>
  </si>
  <si>
    <t>4</t>
  </si>
  <si>
    <t>Average</t>
  </si>
  <si>
    <t>Calculate average Days to Deliver by delivery bucket using AVERAGEIF.</t>
  </si>
  <si>
    <t>AVERAGEIF</t>
  </si>
  <si>
    <t>5</t>
  </si>
  <si>
    <t>Lookup</t>
  </si>
  <si>
    <t>Use VLOOKUP or INDEX/MATCH to return a salesperson's revenue from Salesperson Analysis.</t>
  </si>
  <si>
    <t>VLOOKUP / INDEX-MATCH</t>
  </si>
  <si>
    <t>6</t>
  </si>
  <si>
    <t>Ranking</t>
  </si>
  <si>
    <t>Rank salespeople by revenue using RANK.</t>
  </si>
  <si>
    <t>RANK</t>
  </si>
  <si>
    <t>7</t>
  </si>
  <si>
    <t>Date analysis</t>
  </si>
  <si>
    <t>Create Order Month from Order Date using TEXT or MONTH.</t>
  </si>
  <si>
    <t>TEXT / MONTH</t>
  </si>
  <si>
    <t>8</t>
  </si>
  <si>
    <t>Profitability</t>
  </si>
  <si>
    <t>Calculate Gross Cost, Gross Profit and Profit %.</t>
  </si>
  <si>
    <t>Arithmetic / IF</t>
  </si>
  <si>
    <t>9</t>
  </si>
  <si>
    <t>Data quality</t>
  </si>
  <si>
    <t>Identify records where Order Priority is 'Not Specifiedd' or Discount $ is negative.</t>
  </si>
  <si>
    <t>IF / OR</t>
  </si>
  <si>
    <t>10</t>
  </si>
  <si>
    <t>Reporting</t>
  </si>
  <si>
    <t>Create a monthly revenue chart and explain the highest and lowest months.</t>
  </si>
  <si>
    <t>Charts</t>
  </si>
  <si>
    <t>11</t>
  </si>
  <si>
    <t>MIS report</t>
  </si>
  <si>
    <t>Build a one-page management report with Revenue, Orders, Units, AOV, Gross Profit and Delivery KPIs.</t>
  </si>
  <si>
    <t>12</t>
  </si>
  <si>
    <t>Dashboard</t>
  </si>
  <si>
    <t>Create/modify a dashboard using salesperson, category, state and monthly views.</t>
  </si>
  <si>
    <t>Dashboard / Charts</t>
  </si>
  <si>
    <t>13</t>
  </si>
  <si>
    <t>Business insight</t>
  </si>
  <si>
    <t>Identify the strongest salesperson, customer type, category and state, then write 3 management insights.</t>
  </si>
  <si>
    <t>Analysis</t>
  </si>
  <si>
    <t>14</t>
  </si>
  <si>
    <t>Interview practice</t>
  </si>
  <si>
    <t>Explain the workbook end-to-end: cleaning → calculations → summaries → dashboard → insights.</t>
  </si>
  <si>
    <t>Communication</t>
  </si>
  <si>
    <t>Portfolio Notes</t>
  </si>
  <si>
    <t>How to position this workbook for analyst roles.</t>
  </si>
  <si>
    <t>Project Title</t>
  </si>
  <si>
    <t>Tools</t>
  </si>
  <si>
    <t>Microsoft Excel 2010</t>
  </si>
  <si>
    <t>Core Skills</t>
  </si>
  <si>
    <t>Data cleaning, Excel formulas, conditional logic, aggregation, lookup functions, ranking, date analysis, KPI reporting, dashboarding and business insights.</t>
  </si>
  <si>
    <t>Data Analysis</t>
  </si>
  <si>
    <t>Revenue by salesperson, customer type, state, product category and month; order volume; units sold; average order value; gross profit; discount analysis; delivery performance.</t>
  </si>
  <si>
    <t>MIS / Reporting Angle</t>
  </si>
  <si>
    <t>Recurring KPI reporting, management dashboard, summarized performance tables, exception flags and operational delivery reporting.</t>
  </si>
  <si>
    <t>Data Analyst Angle</t>
  </si>
  <si>
    <t>Structured raw data, calculated fields, quality checks, segmentation, trend analysis and actionable insights.</t>
  </si>
  <si>
    <t>Interview Story</t>
  </si>
  <si>
    <t>LinkedIn/GitHub Description</t>
  </si>
  <si>
    <t>Built an Excel 2010 Sales Performance &amp; Revenue Analysis project covering transaction-level data preparation, KPI reporting, salesperson performance, customer segmentation, product/category analysis, geographic performance, monthly trends, delivery metrics and an executive dashboard.</t>
  </si>
  <si>
    <t>Column</t>
  </si>
  <si>
    <t>Meaning</t>
  </si>
  <si>
    <t>Type</t>
  </si>
  <si>
    <t>Business Use</t>
  </si>
  <si>
    <t>Category</t>
  </si>
  <si>
    <t>Product</t>
  </si>
  <si>
    <t>Quantity</t>
  </si>
  <si>
    <t>Date order was placed</t>
  </si>
  <si>
    <t>Date</t>
  </si>
  <si>
    <t>Trend analysis</t>
  </si>
  <si>
    <t>Person responsible for sale</t>
  </si>
  <si>
    <t>Dimension</t>
  </si>
  <si>
    <t>Performance</t>
  </si>
  <si>
    <t>Customer/order state</t>
  </si>
  <si>
    <t>Regional analysis</t>
  </si>
  <si>
    <t>Customer segment</t>
  </si>
  <si>
    <t>Segmentation</t>
  </si>
  <si>
    <t>Product category</t>
  </si>
  <si>
    <t>Category analysis</t>
  </si>
  <si>
    <t>Product sold</t>
  </si>
  <si>
    <t>Product analysis</t>
  </si>
  <si>
    <t>Units sold</t>
  </si>
  <si>
    <t>Measure</t>
  </si>
  <si>
    <t>Volume</t>
  </si>
  <si>
    <t>Cost</t>
  </si>
  <si>
    <t>Product cost</t>
  </si>
  <si>
    <t>Selling price</t>
  </si>
  <si>
    <t>Discount</t>
  </si>
  <si>
    <t>Discount applied</t>
  </si>
  <si>
    <t>Pricing analysis</t>
  </si>
  <si>
    <t>Sales generated</t>
  </si>
  <si>
    <t>Revenue KPI</t>
  </si>
  <si>
    <t>Profit</t>
  </si>
  <si>
    <t>Revenue minus cost</t>
  </si>
  <si>
    <t>Delivery Days</t>
  </si>
  <si>
    <t>Days to deliver</t>
  </si>
  <si>
    <t>Operations</t>
  </si>
  <si>
    <t>Salesperson Analysis</t>
  </si>
  <si>
    <t>Customer Analysis</t>
  </si>
  <si>
    <t>Monthly Revenue Analysis</t>
  </si>
  <si>
    <t>Category Analysis</t>
  </si>
  <si>
    <t>State Analysis</t>
  </si>
  <si>
    <t>Delivery Analysis</t>
  </si>
  <si>
    <t>Discount ₹</t>
  </si>
  <si>
    <t>I consolidated three Excel sales-analysis exercises into one end-to-end reporting solution. I kept a single master transaction table to avoid double-counting, added calculated fields for month/profit/delivery, built analysis tables and created a management dashboard.'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</si>
</sst>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 &quot;₹&quot;\ * #,##0.00_ ;_ &quot;₹&quot;\ * \-#,##0.00_ ;_ &quot;₹&quot;\ * &quot;-&quot;??_ ;_ @_ "/>
    <numFmt numFmtId="164" formatCode="dd\-mmm\-yyyy"/>
    <numFmt numFmtId="165" formatCode="0.0%"/>
    <numFmt numFmtId="166" formatCode="0.0"/>
    <numFmt numFmtId="167" formatCode="&quot;₹&quot;\ #,##0.00"/>
  </numFmts>
  <fonts count="13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666666"/>
      <name val="Calibri"/>
    </font>
    <font>
      <b/>
      <sz val="11"/>
      <color rgb="FF1F4E78"/>
      <name val="Calibri"/>
    </font>
    <font>
      <b/>
      <sz val="11"/>
      <color rgb="FFFFFFFF"/>
      <name val="Calibri"/>
    </font>
    <font>
      <b/>
      <sz val="12"/>
      <name val="Calibri"/>
    </font>
    <font>
      <b/>
      <sz val="20"/>
      <color rgb="FF1F4E78"/>
      <name val="Calibri"/>
    </font>
    <font>
      <b/>
      <sz val="13"/>
      <color rgb="FFFFFFFF"/>
      <name val="Calibri"/>
    </font>
    <font>
      <b/>
      <sz val="11"/>
      <name val="Calibri"/>
    </font>
    <font>
      <b/>
      <sz val="11"/>
      <color rgb="FF666666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7365D"/>
      </patternFill>
    </fill>
  </fills>
  <borders count="3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/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/>
    <xf numFmtId="0" fontId="4" fillId="2" borderId="0" xfId="0" applyFont="1" applyFill="1"/>
    <xf numFmtId="0" fontId="4" fillId="4" borderId="1" xfId="0" applyFont="1" applyFill="1" applyBorder="1"/>
    <xf numFmtId="0" fontId="8" fillId="0" borderId="1" xfId="0" applyFont="1" applyBorder="1"/>
    <xf numFmtId="4" fontId="0" fillId="0" borderId="1" xfId="0" applyNumberFormat="1" applyBorder="1"/>
    <xf numFmtId="3" fontId="0" fillId="0" borderId="1" xfId="0" applyNumberFormat="1" applyBorder="1"/>
    <xf numFmtId="0" fontId="3" fillId="3" borderId="1" xfId="0" applyFont="1" applyFill="1" applyBorder="1"/>
    <xf numFmtId="0" fontId="0" fillId="0" borderId="1" xfId="0" applyBorder="1" applyAlignment="1">
      <alignment vertical="top" wrapText="1"/>
    </xf>
    <xf numFmtId="0" fontId="4" fillId="4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  <xf numFmtId="4" fontId="5" fillId="0" borderId="1" xfId="0" applyNumberFormat="1" applyFont="1" applyBorder="1"/>
    <xf numFmtId="3" fontId="5" fillId="0" borderId="1" xfId="0" applyNumberFormat="1" applyFont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0" fontId="0" fillId="0" borderId="1" xfId="0" applyBorder="1"/>
    <xf numFmtId="0" fontId="4" fillId="4" borderId="2" xfId="0" applyFont="1" applyFill="1" applyBorder="1" applyAlignment="1">
      <alignment horizontal="center" vertical="center"/>
    </xf>
    <xf numFmtId="167" fontId="0" fillId="0" borderId="1" xfId="0" applyNumberFormat="1" applyBorder="1"/>
    <xf numFmtId="0" fontId="0" fillId="0" borderId="1" xfId="0" applyBorder="1"/>
    <xf numFmtId="9" fontId="0" fillId="0" borderId="0" xfId="1" applyFont="1"/>
    <xf numFmtId="0" fontId="0" fillId="0" borderId="0" xfId="0"/>
    <xf numFmtId="167" fontId="0" fillId="0" borderId="1" xfId="0" applyNumberFormat="1" applyBorder="1"/>
    <xf numFmtId="9" fontId="0" fillId="0" borderId="1" xfId="1" applyFont="1" applyBorder="1"/>
    <xf numFmtId="167" fontId="0" fillId="0" borderId="1" xfId="0" applyNumberFormat="1" applyBorder="1"/>
    <xf numFmtId="0" fontId="12" fillId="4" borderId="1" xfId="0" applyFont="1" applyFill="1" applyBorder="1" applyAlignment="1">
      <alignment horizontal="center" vertical="center"/>
    </xf>
    <xf numFmtId="167" fontId="5" fillId="0" borderId="1" xfId="0" applyNumberFormat="1" applyFont="1" applyBorder="1"/>
    <xf numFmtId="167" fontId="0" fillId="0" borderId="0" xfId="0" applyNumberFormat="1"/>
    <xf numFmtId="0" fontId="0" fillId="0" borderId="1" xfId="0" quotePrefix="1" applyBorder="1" applyAlignment="1">
      <alignment vertical="top" wrapText="1"/>
    </xf>
    <xf numFmtId="0" fontId="1" fillId="2" borderId="0" xfId="0" applyFont="1" applyFill="1"/>
    <xf numFmtId="0" fontId="0" fillId="0" borderId="0" xfId="0"/>
    <xf numFmtId="167" fontId="6" fillId="0" borderId="1" xfId="0" applyNumberFormat="1" applyFont="1" applyBorder="1" applyAlignment="1">
      <alignment horizontal="center" vertical="center"/>
    </xf>
    <xf numFmtId="167" fontId="0" fillId="0" borderId="1" xfId="0" applyNumberFormat="1" applyBorder="1"/>
    <xf numFmtId="0" fontId="2" fillId="0" borderId="0" xfId="0" applyFont="1"/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4" fontId="6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7" fillId="2" borderId="0" xfId="0" applyFont="1" applyFill="1"/>
    <xf numFmtId="14" fontId="9" fillId="0" borderId="0" xfId="0" applyNumberFormat="1" applyFont="1" applyAlignment="1"/>
  </cellXfs>
  <cellStyles count="2">
    <cellStyle name="Normal" xfId="0" builtinId="0"/>
    <cellStyle name="Percent" xfId="1" builtinId="5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Salesperson</a:t>
            </a:r>
          </a:p>
        </c:rich>
      </c:tx>
      <c:layout>
        <c:manualLayout>
          <c:xMode val="edge"/>
          <c:yMode val="edge"/>
          <c:x val="0.33902478632478633"/>
          <c:y val="7.0555555555555552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Dashboard!$A$15:$A$20</c:f>
              <c:strCache>
                <c:ptCount val="5"/>
                <c:pt idx="0">
                  <c:v>Yvette Biti</c:v>
                </c:pt>
                <c:pt idx="1">
                  <c:v>Natasha Song</c:v>
                </c:pt>
                <c:pt idx="2">
                  <c:v>Charlie Bui</c:v>
                </c:pt>
                <c:pt idx="3">
                  <c:v>Mihael Khan</c:v>
                </c:pt>
                <c:pt idx="4">
                  <c:v>Samantha Chairs</c:v>
                </c:pt>
              </c:strCache>
            </c:strRef>
          </c:cat>
          <c:val>
            <c:numRef>
              <c:f>Dashboard!$C$15:$C$20</c:f>
              <c:numCache>
                <c:formatCode>"₹"\ #,##0.00</c:formatCode>
                <c:ptCount val="6"/>
                <c:pt idx="0">
                  <c:v>120963.35500000001</c:v>
                </c:pt>
                <c:pt idx="1">
                  <c:v>105627.70560000003</c:v>
                </c:pt>
                <c:pt idx="2">
                  <c:v>74020.827800000014</c:v>
                </c:pt>
                <c:pt idx="3">
                  <c:v>76239.294899999994</c:v>
                </c:pt>
                <c:pt idx="4">
                  <c:v>65786.384399999981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461696"/>
        <c:axId val="218463232"/>
      </c:barChart>
      <c:catAx>
        <c:axId val="218461696"/>
        <c:scaling>
          <c:orientation val="minMax"/>
        </c:scaling>
        <c:delete val="1"/>
        <c:axPos val="b"/>
        <c:majorTickMark val="none"/>
        <c:minorTickMark val="none"/>
        <c:tickLblPos val="nextTo"/>
        <c:crossAx val="218463232"/>
        <c:crosses val="autoZero"/>
        <c:auto val="1"/>
        <c:lblAlgn val="ctr"/>
        <c:lblOffset val="100"/>
        <c:noMultiLvlLbl val="1"/>
      </c:catAx>
      <c:valAx>
        <c:axId val="218463232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layout>
            <c:manualLayout>
              <c:xMode val="edge"/>
              <c:yMode val="edge"/>
              <c:x val="2.7136752136752138E-3"/>
              <c:y val="0.39367499999999994"/>
            </c:manualLayout>
          </c:layout>
          <c:overlay val="1"/>
        </c:title>
        <c:numFmt formatCode="&quot;₹&quot;\ #,##0.00" sourceLinked="1"/>
        <c:majorTickMark val="none"/>
        <c:minorTickMark val="none"/>
        <c:tickLblPos val="nextTo"/>
        <c:crossAx val="218461696"/>
        <c:crosses val="autoZero"/>
        <c:crossBetween val="between"/>
      </c:valAx>
    </c:plotArea>
    <c:legend>
      <c:legendPos val="r"/>
      <c:legendEntry>
        <c:idx val="5"/>
        <c:delete val="1"/>
      </c:legendEntry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Monthly Revenue Trend</a:t>
            </a:r>
          </a:p>
        </c:rich>
      </c:tx>
      <c:layout>
        <c:manualLayout>
          <c:xMode val="edge"/>
          <c:yMode val="edge"/>
          <c:x val="0.47220512820512822"/>
          <c:y val="5.0396825396825393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4423076923076922E-2"/>
          <c:y val="8.5674603174603181E-2"/>
          <c:w val="0.79412692307692312"/>
          <c:h val="0.8891269841269841"/>
        </c:manualLayout>
      </c:layout>
      <c:lineChart>
        <c:grouping val="standard"/>
        <c:varyColors val="1"/>
        <c:ser>
          <c:idx val="0"/>
          <c:order val="0"/>
          <c:tx>
            <c:strRef>
              <c:f>Dashboard!$C$41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Dashboard!$A$42:$A$53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Dashboard!$C$42:$C$53</c:f>
              <c:numCache>
                <c:formatCode>"₹"\ #,##0.00</c:formatCode>
                <c:ptCount val="12"/>
                <c:pt idx="0">
                  <c:v>56974.562299999998</c:v>
                </c:pt>
                <c:pt idx="1">
                  <c:v>58662.095600000001</c:v>
                </c:pt>
                <c:pt idx="2">
                  <c:v>143970.11760000003</c:v>
                </c:pt>
                <c:pt idx="3">
                  <c:v>54408.572000000007</c:v>
                </c:pt>
                <c:pt idx="4">
                  <c:v>87835.631100000013</c:v>
                </c:pt>
                <c:pt idx="5">
                  <c:v>93178.520099999994</c:v>
                </c:pt>
                <c:pt idx="6">
                  <c:v>105093.68580000001</c:v>
                </c:pt>
                <c:pt idx="7">
                  <c:v>43467.029399999992</c:v>
                </c:pt>
                <c:pt idx="8">
                  <c:v>73635.172499999986</c:v>
                </c:pt>
                <c:pt idx="9">
                  <c:v>54593.491800000003</c:v>
                </c:pt>
                <c:pt idx="10">
                  <c:v>59446.994099999982</c:v>
                </c:pt>
                <c:pt idx="11">
                  <c:v>114903.92600000001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373568"/>
        <c:axId val="219375488"/>
      </c:lineChart>
      <c:catAx>
        <c:axId val="21937356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layout>
            <c:manualLayout>
              <c:xMode val="edge"/>
              <c:yMode val="edge"/>
              <c:x val="0.86882222222222227"/>
              <c:y val="0.92337142857142862"/>
            </c:manualLayout>
          </c:layout>
          <c:overlay val="1"/>
        </c:title>
        <c:majorTickMark val="none"/>
        <c:minorTickMark val="none"/>
        <c:tickLblPos val="nextTo"/>
        <c:crossAx val="219375488"/>
        <c:crosses val="autoZero"/>
        <c:auto val="1"/>
        <c:lblAlgn val="ctr"/>
        <c:lblOffset val="100"/>
        <c:noMultiLvlLbl val="1"/>
      </c:catAx>
      <c:valAx>
        <c:axId val="21937548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layout>
            <c:manualLayout>
              <c:xMode val="edge"/>
              <c:yMode val="edge"/>
              <c:x val="0"/>
              <c:y val="0.42391309523809523"/>
            </c:manualLayout>
          </c:layout>
          <c:overlay val="1"/>
        </c:title>
        <c:numFmt formatCode="&quot;₹&quot;\ #,##0.00" sourceLinked="1"/>
        <c:majorTickMark val="none"/>
        <c:minorTickMark val="none"/>
        <c:tickLblPos val="nextTo"/>
        <c:crossAx val="2193735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82777777777763"/>
          <c:y val="2.4180555555555552E-2"/>
          <c:w val="0.12989017094017094"/>
          <c:h val="0.91132142857142862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Mix by Category</a:t>
            </a:r>
          </a:p>
        </c:rich>
      </c:tx>
      <c:layout>
        <c:manualLayout>
          <c:xMode val="edge"/>
          <c:yMode val="edge"/>
          <c:x val="2.5833333333333476E-3"/>
          <c:y val="4.0317460317460314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Dashboard!$J$14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Dashboard!$H$15:$H$17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Dashboard!$J$15:$J$17</c:f>
              <c:numCache>
                <c:formatCode>"₹"\ #,##0.00</c:formatCode>
                <c:ptCount val="3"/>
                <c:pt idx="0">
                  <c:v>24961.8737</c:v>
                </c:pt>
                <c:pt idx="1">
                  <c:v>266028.18439999985</c:v>
                </c:pt>
                <c:pt idx="2">
                  <c:v>655179.74020000012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273033333333333"/>
          <c:y val="0.72615873015873011"/>
          <c:w val="0.27269666666666664"/>
          <c:h val="0.273396428571428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State</a:t>
            </a:r>
            <a:r>
              <a:rPr lang="en-IN" baseline="0"/>
              <a:t> Revenue Analysis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Analysis'!$C$4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'State Analysis'!$A$5:$A$7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'State Analysis'!$C$5:$C$7</c:f>
              <c:numCache>
                <c:formatCode>"₹"\ #,##0.00</c:formatCode>
                <c:ptCount val="3"/>
                <c:pt idx="0">
                  <c:v>578438.14170000015</c:v>
                </c:pt>
                <c:pt idx="1">
                  <c:v>210288.42690000002</c:v>
                </c:pt>
                <c:pt idx="2">
                  <c:v>157443.22970000005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689728"/>
        <c:axId val="219691264"/>
      </c:barChart>
      <c:catAx>
        <c:axId val="219689728"/>
        <c:scaling>
          <c:orientation val="minMax"/>
        </c:scaling>
        <c:delete val="0"/>
        <c:axPos val="b"/>
        <c:majorTickMark val="out"/>
        <c:minorTickMark val="none"/>
        <c:tickLblPos val="nextTo"/>
        <c:crossAx val="219691264"/>
        <c:crosses val="autoZero"/>
        <c:auto val="1"/>
        <c:lblAlgn val="ctr"/>
        <c:lblOffset val="100"/>
        <c:noMultiLvlLbl val="0"/>
      </c:catAx>
      <c:valAx>
        <c:axId val="2196912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  <c:overlay val="0"/>
        </c:title>
        <c:numFmt formatCode="&quot;₹&quot;\ #,##0.00" sourceLinked="1"/>
        <c:majorTickMark val="out"/>
        <c:minorTickMark val="none"/>
        <c:tickLblPos val="nextTo"/>
        <c:crossAx val="2196897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Customer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('Customer Analysis'!$A$5,'Customer Analysis'!$A$6,'Customer Analysis'!$A$7,'Customer Analysis'!$A$8)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'Customer Analysis'!$C$5:$C$8</c:f>
              <c:numCache>
                <c:formatCode>"₹"\ #,##0.00</c:formatCode>
                <c:ptCount val="4"/>
                <c:pt idx="0">
                  <c:v>167363.29670000004</c:v>
                </c:pt>
                <c:pt idx="1">
                  <c:v>369291.80419999966</c:v>
                </c:pt>
                <c:pt idx="2">
                  <c:v>220046.85589999991</c:v>
                </c:pt>
                <c:pt idx="3">
                  <c:v>189467.8415000001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19727360"/>
        <c:axId val="219728896"/>
      </c:barChart>
      <c:catAx>
        <c:axId val="219727360"/>
        <c:scaling>
          <c:orientation val="minMax"/>
        </c:scaling>
        <c:delete val="0"/>
        <c:axPos val="b"/>
        <c:majorTickMark val="out"/>
        <c:minorTickMark val="none"/>
        <c:tickLblPos val="nextTo"/>
        <c:crossAx val="219728896"/>
        <c:crosses val="autoZero"/>
        <c:auto val="1"/>
        <c:lblAlgn val="ctr"/>
        <c:lblOffset val="100"/>
        <c:noMultiLvlLbl val="0"/>
      </c:catAx>
      <c:valAx>
        <c:axId val="2197288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0"/>
        </c:title>
        <c:numFmt formatCode="&quot;₹&quot;\ #,##0.00" sourceLinked="1"/>
        <c:majorTickMark val="out"/>
        <c:minorTickMark val="none"/>
        <c:tickLblPos val="nextTo"/>
        <c:crossAx val="2197273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Delivery</a:t>
            </a:r>
            <a:r>
              <a:rPr lang="en-US" sz="1600" baseline="0"/>
              <a:t>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'Delivery Analysis'!$D$4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'Delivery Analysis'!$A$5:$A$8</c:f>
              <c:strCache>
                <c:ptCount val="4"/>
                <c:pt idx="0">
                  <c:v>Fast</c:v>
                </c:pt>
                <c:pt idx="1">
                  <c:v>Standard</c:v>
                </c:pt>
                <c:pt idx="2">
                  <c:v>Slow</c:v>
                </c:pt>
                <c:pt idx="3">
                  <c:v>Very Slow</c:v>
                </c:pt>
              </c:strCache>
            </c:strRef>
          </c:cat>
          <c:val>
            <c:numRef>
              <c:f>'Delivery Analysis'!$D$5:$D$8</c:f>
              <c:numCache>
                <c:formatCode>"₹"\ #,##0.00</c:formatCode>
                <c:ptCount val="4"/>
                <c:pt idx="0">
                  <c:v>130997.3836</c:v>
                </c:pt>
                <c:pt idx="1">
                  <c:v>90110.98030000001</c:v>
                </c:pt>
                <c:pt idx="2">
                  <c:v>308364.37519999989</c:v>
                </c:pt>
                <c:pt idx="3">
                  <c:v>416697.05919999984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9555328"/>
        <c:axId val="219556864"/>
      </c:barChart>
      <c:catAx>
        <c:axId val="219555328"/>
        <c:scaling>
          <c:orientation val="minMax"/>
        </c:scaling>
        <c:delete val="0"/>
        <c:axPos val="b"/>
        <c:majorTickMark val="out"/>
        <c:minorTickMark val="none"/>
        <c:tickLblPos val="nextTo"/>
        <c:crossAx val="219556864"/>
        <c:crosses val="autoZero"/>
        <c:auto val="1"/>
        <c:lblAlgn val="ctr"/>
        <c:lblOffset val="100"/>
        <c:noMultiLvlLbl val="0"/>
      </c:catAx>
      <c:valAx>
        <c:axId val="2195568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overlay val="0"/>
        </c:title>
        <c:numFmt formatCode="&quot;₹&quot;\ #,##0.00" sourceLinked="1"/>
        <c:majorTickMark val="out"/>
        <c:minorTickMark val="none"/>
        <c:tickLblPos val="nextTo"/>
        <c:crossAx val="2195553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Revenue by Salesperson</a:t>
            </a:r>
          </a:p>
        </c:rich>
      </c:tx>
      <c:layout>
        <c:manualLayout>
          <c:xMode val="edge"/>
          <c:yMode val="edge"/>
          <c:x val="0.41855873015873019"/>
          <c:y val="2.645833333333333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2837301587301591E-2"/>
          <c:y val="0"/>
          <c:w val="0.68692242063492059"/>
          <c:h val="0.90298611111111116"/>
        </c:manualLayout>
      </c:layout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'Salesperson Analysis'!$A$5:$A$17</c:f>
              <c:strCache>
                <c:ptCount val="13"/>
                <c:pt idx="0">
                  <c:v>Yvette Biti</c:v>
                </c:pt>
                <c:pt idx="1">
                  <c:v>Natasha Song</c:v>
                </c:pt>
                <c:pt idx="2">
                  <c:v>Tina Carlton</c:v>
                </c:pt>
                <c:pt idx="3">
                  <c:v>Connor Betts</c:v>
                </c:pt>
                <c:pt idx="4">
                  <c:v>Mihael Khan</c:v>
                </c:pt>
                <c:pt idx="5">
                  <c:v>Charlie Bui</c:v>
                </c:pt>
                <c:pt idx="6">
                  <c:v>Radhya Staples</c:v>
                </c:pt>
                <c:pt idx="7">
                  <c:v>Samantha Chairs</c:v>
                </c:pt>
                <c:pt idx="8">
                  <c:v>Leighton Forrest</c:v>
                </c:pt>
                <c:pt idx="9">
                  <c:v>Phoebe Gour</c:v>
                </c:pt>
                <c:pt idx="10">
                  <c:v>Aanya Zhang</c:v>
                </c:pt>
                <c:pt idx="11">
                  <c:v>Nicholas Fernandes</c:v>
                </c:pt>
                <c:pt idx="12">
                  <c:v>Preston Senome</c:v>
                </c:pt>
              </c:strCache>
            </c:strRef>
          </c:cat>
          <c:val>
            <c:numRef>
              <c:f>'Salesperson Analysis'!$D$5:$D$17</c:f>
              <c:numCache>
                <c:formatCode>#,##0</c:formatCode>
                <c:ptCount val="13"/>
                <c:pt idx="0">
                  <c:v>2930</c:v>
                </c:pt>
                <c:pt idx="1">
                  <c:v>1339</c:v>
                </c:pt>
                <c:pt idx="2">
                  <c:v>2970</c:v>
                </c:pt>
                <c:pt idx="3">
                  <c:v>3053</c:v>
                </c:pt>
                <c:pt idx="4">
                  <c:v>1584</c:v>
                </c:pt>
                <c:pt idx="5">
                  <c:v>862</c:v>
                </c:pt>
                <c:pt idx="6">
                  <c:v>396</c:v>
                </c:pt>
                <c:pt idx="7">
                  <c:v>1550</c:v>
                </c:pt>
                <c:pt idx="8">
                  <c:v>937</c:v>
                </c:pt>
                <c:pt idx="9">
                  <c:v>1891</c:v>
                </c:pt>
                <c:pt idx="10">
                  <c:v>1319</c:v>
                </c:pt>
                <c:pt idx="11">
                  <c:v>980</c:v>
                </c:pt>
                <c:pt idx="12">
                  <c:v>963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8615808"/>
        <c:axId val="218617728"/>
      </c:barChart>
      <c:catAx>
        <c:axId val="21861580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Salesperson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218617728"/>
        <c:crosses val="autoZero"/>
        <c:auto val="1"/>
        <c:lblAlgn val="ctr"/>
        <c:lblOffset val="100"/>
        <c:noMultiLvlLbl val="1"/>
      </c:catAx>
      <c:valAx>
        <c:axId val="218617728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layout/>
          <c:overlay val="1"/>
        </c:title>
        <c:numFmt formatCode="#,##0" sourceLinked="1"/>
        <c:majorTickMark val="none"/>
        <c:minorTickMark val="none"/>
        <c:tickLblPos val="nextTo"/>
        <c:crossAx val="218615808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Customer Analysis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('Customer Analysis'!$A$5,'Customer Analysis'!$A$6,'Customer Analysis'!$A$7,'Customer Analysis'!$A$8)</c:f>
              <c:strCache>
                <c:ptCount val="4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  <c:pt idx="3">
                  <c:v>Small Business</c:v>
                </c:pt>
              </c:strCache>
            </c:strRef>
          </c:cat>
          <c:val>
            <c:numRef>
              <c:f>'Customer Analysis'!$C$5:$C$8</c:f>
              <c:numCache>
                <c:formatCode>"₹"\ #,##0.00</c:formatCode>
                <c:ptCount val="4"/>
                <c:pt idx="0">
                  <c:v>167363.29670000004</c:v>
                </c:pt>
                <c:pt idx="1">
                  <c:v>369291.80419999966</c:v>
                </c:pt>
                <c:pt idx="2">
                  <c:v>220046.85589999991</c:v>
                </c:pt>
                <c:pt idx="3">
                  <c:v>189467.8415000001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23840896"/>
        <c:axId val="223850880"/>
      </c:barChart>
      <c:catAx>
        <c:axId val="223840896"/>
        <c:scaling>
          <c:orientation val="minMax"/>
        </c:scaling>
        <c:delete val="0"/>
        <c:axPos val="b"/>
        <c:majorTickMark val="out"/>
        <c:minorTickMark val="none"/>
        <c:tickLblPos val="nextTo"/>
        <c:crossAx val="223850880"/>
        <c:crosses val="autoZero"/>
        <c:auto val="1"/>
        <c:lblAlgn val="ctr"/>
        <c:lblOffset val="100"/>
        <c:noMultiLvlLbl val="0"/>
      </c:catAx>
      <c:valAx>
        <c:axId val="22385088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  <c:overlay val="0"/>
        </c:title>
        <c:numFmt formatCode="&quot;₹&quot;\ #,##0.00" sourceLinked="1"/>
        <c:majorTickMark val="out"/>
        <c:minorTickMark val="none"/>
        <c:tickLblPos val="nextTo"/>
        <c:crossAx val="2238408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State</a:t>
            </a:r>
            <a:r>
              <a:rPr lang="en-IN" baseline="0"/>
              <a:t> Revenue Analysis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Analysis'!$C$4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'State Analysis'!$A$5:$A$7</c:f>
              <c:strCache>
                <c:ptCount val="3"/>
                <c:pt idx="0">
                  <c:v>NSW</c:v>
                </c:pt>
                <c:pt idx="1">
                  <c:v>VIC</c:v>
                </c:pt>
                <c:pt idx="2">
                  <c:v>WA</c:v>
                </c:pt>
              </c:strCache>
            </c:strRef>
          </c:cat>
          <c:val>
            <c:numRef>
              <c:f>'State Analysis'!$C$5:$C$7</c:f>
              <c:numCache>
                <c:formatCode>"₹"\ #,##0.00</c:formatCode>
                <c:ptCount val="3"/>
                <c:pt idx="0">
                  <c:v>578438.14170000015</c:v>
                </c:pt>
                <c:pt idx="1">
                  <c:v>210288.42690000002</c:v>
                </c:pt>
                <c:pt idx="2">
                  <c:v>157443.22970000005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732480"/>
        <c:axId val="223734016"/>
      </c:barChart>
      <c:catAx>
        <c:axId val="223732480"/>
        <c:scaling>
          <c:orientation val="minMax"/>
        </c:scaling>
        <c:delete val="0"/>
        <c:axPos val="b"/>
        <c:majorTickMark val="out"/>
        <c:minorTickMark val="none"/>
        <c:tickLblPos val="nextTo"/>
        <c:crossAx val="223734016"/>
        <c:crosses val="autoZero"/>
        <c:auto val="1"/>
        <c:lblAlgn val="ctr"/>
        <c:lblOffset val="100"/>
        <c:noMultiLvlLbl val="0"/>
      </c:catAx>
      <c:valAx>
        <c:axId val="2237340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  <c:overlay val="0"/>
        </c:title>
        <c:numFmt formatCode="&quot;₹&quot;\ #,##0.00" sourceLinked="1"/>
        <c:majorTickMark val="out"/>
        <c:minorTickMark val="none"/>
        <c:tickLblPos val="nextTo"/>
        <c:crossAx val="223732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IN" sz="1600"/>
              <a:t>Revenue by Product Category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Analysis'!$D$4</c:f>
              <c:strCache>
                <c:ptCount val="1"/>
                <c:pt idx="0">
                  <c:v>Gross Profit</c:v>
                </c:pt>
              </c:strCache>
            </c:strRef>
          </c:tx>
          <c:invertIfNegative val="0"/>
          <c:cat>
            <c:strRef>
              <c:f>('Category Analysis'!$A$5,'Category Analysis'!$A$6,'Category Analysis'!$A$7)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Analysis'!$D$5:$D$7</c:f>
              <c:numCache>
                <c:formatCode>"₹"\ #,##0.00</c:formatCode>
                <c:ptCount val="3"/>
                <c:pt idx="0">
                  <c:v>13651.033699999996</c:v>
                </c:pt>
                <c:pt idx="1">
                  <c:v>119488.44440000002</c:v>
                </c:pt>
                <c:pt idx="2">
                  <c:v>271659.8702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24178176"/>
        <c:axId val="224179712"/>
      </c:barChart>
      <c:catAx>
        <c:axId val="224178176"/>
        <c:scaling>
          <c:orientation val="minMax"/>
        </c:scaling>
        <c:delete val="0"/>
        <c:axPos val="b"/>
        <c:majorTickMark val="out"/>
        <c:minorTickMark val="none"/>
        <c:tickLblPos val="nextTo"/>
        <c:crossAx val="224179712"/>
        <c:crosses val="autoZero"/>
        <c:auto val="1"/>
        <c:lblAlgn val="ctr"/>
        <c:lblOffset val="100"/>
        <c:noMultiLvlLbl val="0"/>
      </c:catAx>
      <c:valAx>
        <c:axId val="224179712"/>
        <c:scaling>
          <c:orientation val="minMax"/>
        </c:scaling>
        <c:delete val="0"/>
        <c:axPos val="l"/>
        <c:majorGridlines/>
        <c:numFmt formatCode="&quot;₹&quot;\ #,##0.00" sourceLinked="1"/>
        <c:majorTickMark val="out"/>
        <c:minorTickMark val="none"/>
        <c:tickLblPos val="nextTo"/>
        <c:crossAx val="2241781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Monthly Revenue</a:t>
            </a:r>
          </a:p>
        </c:rich>
      </c:tx>
      <c:layout>
        <c:manualLayout>
          <c:xMode val="edge"/>
          <c:yMode val="edge"/>
          <c:x val="0.39170357142857143"/>
          <c:y val="0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Analysis'!$C$4</c:f>
              <c:strCache>
                <c:ptCount val="1"/>
                <c:pt idx="0">
                  <c:v>Revenue</c:v>
                </c:pt>
              </c:strCache>
            </c:strRef>
          </c:tx>
          <c:marker>
            <c:symbol val="none"/>
          </c:marker>
          <c:cat>
            <c:strRef>
              <c:f>'Monthly Analysis'!$A$5:$A$16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Analysis'!$C$5:$C$16</c:f>
              <c:numCache>
                <c:formatCode>"₹"\ #,##0.00</c:formatCode>
                <c:ptCount val="12"/>
                <c:pt idx="0">
                  <c:v>56974.562299999998</c:v>
                </c:pt>
                <c:pt idx="1">
                  <c:v>58662.095600000001</c:v>
                </c:pt>
                <c:pt idx="2">
                  <c:v>143970.11760000003</c:v>
                </c:pt>
                <c:pt idx="3">
                  <c:v>54408.572000000007</c:v>
                </c:pt>
                <c:pt idx="4">
                  <c:v>87835.631100000013</c:v>
                </c:pt>
                <c:pt idx="5">
                  <c:v>93178.520099999994</c:v>
                </c:pt>
                <c:pt idx="6">
                  <c:v>105093.68580000001</c:v>
                </c:pt>
                <c:pt idx="7">
                  <c:v>43467.029399999992</c:v>
                </c:pt>
                <c:pt idx="8">
                  <c:v>73635.172499999986</c:v>
                </c:pt>
                <c:pt idx="9">
                  <c:v>54593.491800000003</c:v>
                </c:pt>
                <c:pt idx="10">
                  <c:v>59446.994099999982</c:v>
                </c:pt>
                <c:pt idx="11">
                  <c:v>114903.92600000001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4253440"/>
        <c:axId val="224255360"/>
      </c:lineChart>
      <c:catAx>
        <c:axId val="22425344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Month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224255360"/>
        <c:crosses val="autoZero"/>
        <c:auto val="1"/>
        <c:lblAlgn val="ctr"/>
        <c:lblOffset val="100"/>
        <c:noMultiLvlLbl val="1"/>
      </c:catAx>
      <c:valAx>
        <c:axId val="22425536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Revenue</a:t>
                </a:r>
              </a:p>
            </c:rich>
          </c:tx>
          <c:layout/>
          <c:overlay val="1"/>
        </c:title>
        <c:numFmt formatCode="&quot;₹&quot;\ #,##0.00" sourceLinked="1"/>
        <c:majorTickMark val="none"/>
        <c:minorTickMark val="none"/>
        <c:tickLblPos val="nextTo"/>
        <c:crossAx val="2242534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/>
              <a:t>Delivery</a:t>
            </a:r>
            <a:r>
              <a:rPr lang="en-US" sz="1600" baseline="0"/>
              <a:t> Performance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'Delivery Analysis'!$D$4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cat>
            <c:strRef>
              <c:f>'Delivery Analysis'!$A$5:$A$8</c:f>
              <c:strCache>
                <c:ptCount val="4"/>
                <c:pt idx="0">
                  <c:v>Fast</c:v>
                </c:pt>
                <c:pt idx="1">
                  <c:v>Standard</c:v>
                </c:pt>
                <c:pt idx="2">
                  <c:v>Slow</c:v>
                </c:pt>
                <c:pt idx="3">
                  <c:v>Very Slow</c:v>
                </c:pt>
              </c:strCache>
            </c:strRef>
          </c:cat>
          <c:val>
            <c:numRef>
              <c:f>'Delivery Analysis'!$D$5:$D$8</c:f>
              <c:numCache>
                <c:formatCode>"₹"\ #,##0.00</c:formatCode>
                <c:ptCount val="4"/>
                <c:pt idx="0">
                  <c:v>130997.3836</c:v>
                </c:pt>
                <c:pt idx="1">
                  <c:v>90110.98030000001</c:v>
                </c:pt>
                <c:pt idx="2">
                  <c:v>308364.37519999989</c:v>
                </c:pt>
                <c:pt idx="3">
                  <c:v>416697.05919999984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4293248"/>
        <c:axId val="224294784"/>
      </c:barChart>
      <c:catAx>
        <c:axId val="224293248"/>
        <c:scaling>
          <c:orientation val="minMax"/>
        </c:scaling>
        <c:delete val="0"/>
        <c:axPos val="b"/>
        <c:majorTickMark val="out"/>
        <c:minorTickMark val="none"/>
        <c:tickLblPos val="nextTo"/>
        <c:crossAx val="224294784"/>
        <c:crosses val="autoZero"/>
        <c:auto val="1"/>
        <c:lblAlgn val="ctr"/>
        <c:lblOffset val="100"/>
        <c:noMultiLvlLbl val="0"/>
      </c:catAx>
      <c:valAx>
        <c:axId val="2242947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  <c:overlay val="0"/>
        </c:title>
        <c:numFmt formatCode="&quot;₹&quot;\ #,##0.00" sourceLinked="1"/>
        <c:majorTickMark val="out"/>
        <c:minorTickMark val="none"/>
        <c:tickLblPos val="nextTo"/>
        <c:crossAx val="22429324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</xdr:colOff>
      <xdr:row>22</xdr:row>
      <xdr:rowOff>76200</xdr:rowOff>
    </xdr:from>
    <xdr:ext cx="468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15240</xdr:colOff>
      <xdr:row>54</xdr:row>
      <xdr:rowOff>129540</xdr:rowOff>
    </xdr:from>
    <xdr:ext cx="468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60960</xdr:colOff>
      <xdr:row>19</xdr:row>
      <xdr:rowOff>76200</xdr:rowOff>
    </xdr:from>
    <xdr:ext cx="3600000" cy="25200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>
    <xdr:from>
      <xdr:col>12</xdr:col>
      <xdr:colOff>182880</xdr:colOff>
      <xdr:row>19</xdr:row>
      <xdr:rowOff>15240</xdr:rowOff>
    </xdr:from>
    <xdr:to>
      <xdr:col>19</xdr:col>
      <xdr:colOff>91440</xdr:colOff>
      <xdr:row>34</xdr:row>
      <xdr:rowOff>15240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396240</xdr:colOff>
      <xdr:row>46</xdr:row>
      <xdr:rowOff>106680</xdr:rowOff>
    </xdr:from>
    <xdr:to>
      <xdr:col>11</xdr:col>
      <xdr:colOff>579120</xdr:colOff>
      <xdr:row>61</xdr:row>
      <xdr:rowOff>106680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220980</xdr:colOff>
      <xdr:row>46</xdr:row>
      <xdr:rowOff>91440</xdr:rowOff>
    </xdr:from>
    <xdr:to>
      <xdr:col>20</xdr:col>
      <xdr:colOff>129540</xdr:colOff>
      <xdr:row>61</xdr:row>
      <xdr:rowOff>91440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30480</xdr:colOff>
      <xdr:row>6</xdr:row>
      <xdr:rowOff>30480</xdr:rowOff>
    </xdr:from>
    <xdr:ext cx="504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1200150</xdr:colOff>
      <xdr:row>9</xdr:row>
      <xdr:rowOff>80010</xdr:rowOff>
    </xdr:from>
    <xdr:to>
      <xdr:col>6</xdr:col>
      <xdr:colOff>224790</xdr:colOff>
      <xdr:row>24</xdr:row>
      <xdr:rowOff>80010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1017270</xdr:colOff>
      <xdr:row>10</xdr:row>
      <xdr:rowOff>99066</xdr:rowOff>
    </xdr:from>
    <xdr:to>
      <xdr:col>6</xdr:col>
      <xdr:colOff>41910</xdr:colOff>
      <xdr:row>25</xdr:row>
      <xdr:rowOff>99066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483870</xdr:colOff>
      <xdr:row>9</xdr:row>
      <xdr:rowOff>121926</xdr:rowOff>
    </xdr:from>
    <xdr:to>
      <xdr:col>6</xdr:col>
      <xdr:colOff>133350</xdr:colOff>
      <xdr:row>24</xdr:row>
      <xdr:rowOff>121926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556260</xdr:colOff>
      <xdr:row>7</xdr:row>
      <xdr:rowOff>53340</xdr:rowOff>
    </xdr:from>
    <xdr:ext cx="5040000" cy="304002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</xdr:colOff>
      <xdr:row>10</xdr:row>
      <xdr:rowOff>91446</xdr:rowOff>
    </xdr:from>
    <xdr:to>
      <xdr:col>7</xdr:col>
      <xdr:colOff>102870</xdr:colOff>
      <xdr:row>25</xdr:row>
      <xdr:rowOff>91446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D14" totalsRowShown="0" headerRowDxfId="5" dataDxfId="4">
  <autoFilter ref="A1:D14"/>
  <tableColumns count="4">
    <tableColumn id="1" name="Column" dataDxfId="3"/>
    <tableColumn id="2" name="Meaning" dataDxfId="2"/>
    <tableColumn id="3" name="Type" dataDxfId="1"/>
    <tableColumn id="4" name="Business U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53"/>
  <sheetViews>
    <sheetView showGridLines="0" tabSelected="1" topLeftCell="A9" zoomScaleNormal="100" workbookViewId="0">
      <selection activeCell="R42" sqref="R42:R45"/>
    </sheetView>
  </sheetViews>
  <sheetFormatPr defaultRowHeight="14.4"/>
  <cols>
    <col min="1" max="1" width="23.5546875" bestFit="1" customWidth="1"/>
    <col min="2" max="2" width="18" customWidth="1"/>
    <col min="3" max="3" width="16" customWidth="1"/>
    <col min="4" max="7" width="4" customWidth="1"/>
    <col min="8" max="8" width="20" customWidth="1"/>
    <col min="9" max="9" width="14" customWidth="1"/>
    <col min="10" max="10" width="16" customWidth="1"/>
    <col min="11" max="11" width="14" customWidth="1"/>
    <col min="12" max="12" width="16" customWidth="1"/>
    <col min="13" max="14" width="4" customWidth="1"/>
    <col min="15" max="15" width="16" customWidth="1"/>
    <col min="16" max="16" width="18.109375" bestFit="1" customWidth="1"/>
    <col min="17" max="17" width="16" customWidth="1"/>
    <col min="18" max="18" width="12" bestFit="1" customWidth="1"/>
    <col min="19" max="21" width="4" customWidth="1"/>
    <col min="22" max="26" width="14" customWidth="1"/>
  </cols>
  <sheetData>
    <row r="1" spans="1:21" ht="28.05" customHeight="1">
      <c r="A1" s="35" t="s">
        <v>0</v>
      </c>
      <c r="B1" s="36"/>
      <c r="C1" s="36"/>
      <c r="D1" s="36"/>
      <c r="E1" s="36"/>
      <c r="F1" s="36"/>
      <c r="G1" s="36"/>
      <c r="H1" s="36"/>
    </row>
    <row r="2" spans="1:21">
      <c r="A2" s="39" t="s">
        <v>1</v>
      </c>
      <c r="B2" s="36"/>
      <c r="C2" s="36"/>
      <c r="D2" s="36"/>
      <c r="E2" s="36"/>
      <c r="F2" s="36"/>
      <c r="G2" s="36"/>
      <c r="H2" s="36"/>
    </row>
    <row r="4" spans="1:21" ht="17.399999999999999">
      <c r="A4" s="40" t="s">
        <v>2</v>
      </c>
      <c r="B4" s="41"/>
      <c r="C4" s="41"/>
      <c r="D4" s="41"/>
      <c r="F4" s="40" t="s">
        <v>3</v>
      </c>
      <c r="G4" s="41"/>
      <c r="H4" s="41"/>
      <c r="I4" s="41"/>
      <c r="K4" s="40" t="s">
        <v>261</v>
      </c>
      <c r="L4" s="41"/>
      <c r="M4" s="41"/>
      <c r="N4" s="41"/>
      <c r="P4" s="45" t="s">
        <v>16</v>
      </c>
      <c r="Q4" s="36"/>
      <c r="R4" s="36"/>
      <c r="S4" s="36"/>
      <c r="T4" s="36"/>
      <c r="U4" s="36"/>
    </row>
    <row r="5" spans="1:21">
      <c r="A5" s="37">
        <f>'KPI Summary'!B5</f>
        <v>946169.79830000072</v>
      </c>
      <c r="B5" s="38"/>
      <c r="C5" s="38"/>
      <c r="D5" s="38"/>
      <c r="F5" s="37">
        <f>'KPI Summary'!B9</f>
        <v>404799.34830000036</v>
      </c>
      <c r="G5" s="38"/>
      <c r="H5" s="38"/>
      <c r="I5" s="38"/>
      <c r="K5" s="43">
        <f>'KPI Summary'!B6</f>
        <v>779</v>
      </c>
      <c r="L5" s="41"/>
      <c r="M5" s="41"/>
      <c r="N5" s="41"/>
      <c r="P5" s="4" t="s">
        <v>17</v>
      </c>
      <c r="Q5" s="1" t="s">
        <v>73</v>
      </c>
    </row>
    <row r="6" spans="1:21">
      <c r="A6" s="38"/>
      <c r="B6" s="38"/>
      <c r="C6" s="38"/>
      <c r="D6" s="38"/>
      <c r="F6" s="38"/>
      <c r="G6" s="38"/>
      <c r="H6" s="38"/>
      <c r="I6" s="38"/>
      <c r="K6" s="41"/>
      <c r="L6" s="41"/>
      <c r="M6" s="41"/>
      <c r="N6" s="41"/>
      <c r="P6" s="1"/>
      <c r="Q6" s="1"/>
    </row>
    <row r="7" spans="1:21">
      <c r="P7" s="1" t="s">
        <v>19</v>
      </c>
      <c r="Q7" s="30">
        <f>SUMIF(Orders_Clean!$F$5:$F$783,Q5,Orders_Clean!$Q$5:$Q$783)</f>
        <v>95586.719499999992</v>
      </c>
    </row>
    <row r="8" spans="1:21">
      <c r="A8" s="40" t="s">
        <v>5</v>
      </c>
      <c r="B8" s="41"/>
      <c r="C8" s="41"/>
      <c r="D8" s="41"/>
      <c r="F8" s="40" t="s">
        <v>6</v>
      </c>
      <c r="G8" s="41"/>
      <c r="H8" s="41"/>
      <c r="I8" s="41"/>
      <c r="K8" s="40" t="s">
        <v>7</v>
      </c>
      <c r="L8" s="41"/>
      <c r="M8" s="41"/>
      <c r="N8" s="41"/>
      <c r="P8" s="1" t="s">
        <v>20</v>
      </c>
      <c r="Q8" s="6">
        <f>COUNTIF(Orders_Clean!$F$5:$F$783,Dashboard!Q5)</f>
        <v>112</v>
      </c>
    </row>
    <row r="9" spans="1:21">
      <c r="A9" s="43">
        <f>'KPI Summary'!B7</f>
        <v>1002394.9599999994</v>
      </c>
      <c r="B9" s="41"/>
      <c r="C9" s="41"/>
      <c r="D9" s="41"/>
      <c r="F9" s="42">
        <f>'KPI Summary'!B11</f>
        <v>1214.595376508345</v>
      </c>
      <c r="G9" s="41"/>
      <c r="H9" s="41"/>
      <c r="I9" s="41"/>
      <c r="K9" s="44">
        <f>'KPI Summary'!B13</f>
        <v>11.761232349165597</v>
      </c>
      <c r="L9" s="41"/>
      <c r="M9" s="41"/>
      <c r="N9" s="41"/>
      <c r="P9" s="1" t="s">
        <v>21</v>
      </c>
      <c r="Q9" s="6">
        <f>SUMIF(Orders_Clean!$F$5:$F$783,Q5,Orders_Clean!$M$5:$M$783)</f>
        <v>2970</v>
      </c>
    </row>
    <row r="10" spans="1:21">
      <c r="A10" s="41"/>
      <c r="B10" s="41"/>
      <c r="C10" s="41"/>
      <c r="D10" s="41"/>
      <c r="F10" s="41"/>
      <c r="G10" s="41"/>
      <c r="H10" s="41"/>
      <c r="I10" s="41"/>
      <c r="K10" s="41"/>
      <c r="L10" s="41"/>
      <c r="M10" s="41"/>
      <c r="N10" s="41"/>
      <c r="P10" s="1" t="s">
        <v>22</v>
      </c>
      <c r="Q10" s="30">
        <f>SUMIF(Orders_Clean!$F$5:$F$783,Q5,Orders_Clean!$T$5:$T$783)</f>
        <v>46112.12950000001</v>
      </c>
    </row>
    <row r="13" spans="1:21">
      <c r="A13" s="2" t="s">
        <v>380</v>
      </c>
      <c r="H13" s="2" t="s">
        <v>383</v>
      </c>
      <c r="O13" s="2" t="s">
        <v>384</v>
      </c>
    </row>
    <row r="14" spans="1:21">
      <c r="A14" s="3" t="s">
        <v>8</v>
      </c>
      <c r="B14" s="3" t="s">
        <v>4</v>
      </c>
      <c r="C14" s="3" t="s">
        <v>9</v>
      </c>
      <c r="H14" s="3" t="s">
        <v>10</v>
      </c>
      <c r="I14" s="3" t="s">
        <v>5</v>
      </c>
      <c r="J14" s="3" t="s">
        <v>9</v>
      </c>
      <c r="O14" s="3" t="s">
        <v>11</v>
      </c>
      <c r="P14" s="3" t="s">
        <v>4</v>
      </c>
      <c r="Q14" s="3" t="s">
        <v>9</v>
      </c>
    </row>
    <row r="15" spans="1:21">
      <c r="A15" s="1" t="str">
        <f>INDEX('Salesperson Analysis'!$A$5:$A$14,MATCH(1,'Salesperson Analysis'!$G$5:$G$14,0))</f>
        <v>Yvette Biti</v>
      </c>
      <c r="B15" s="1">
        <f>INDEX('Salesperson Analysis'!$B$5:$B$14,MATCH(1,'Salesperson Analysis'!$G$5:$G$14,0))</f>
        <v>104</v>
      </c>
      <c r="C15" s="30">
        <f>INDEX('Salesperson Analysis'!$C$5:$C$14,MATCH(1,'Salesperson Analysis'!$G$5:$G$14,0))</f>
        <v>120963.35500000001</v>
      </c>
      <c r="H15" s="1" t="str">
        <f>'Category Analysis'!A5</f>
        <v>Furniture</v>
      </c>
      <c r="I15" s="1">
        <f>'Category Analysis'!B5</f>
        <v>478</v>
      </c>
      <c r="J15" s="30">
        <f>'Category Analysis'!C5</f>
        <v>24961.8737</v>
      </c>
      <c r="O15" s="1" t="str">
        <f>'State Analysis'!A5</f>
        <v>NSW</v>
      </c>
      <c r="P15" s="1">
        <f>'State Analysis'!B5</f>
        <v>447</v>
      </c>
      <c r="Q15" s="30">
        <f>'State Analysis'!C5</f>
        <v>578438.14170000015</v>
      </c>
    </row>
    <row r="16" spans="1:21">
      <c r="A16" s="1" t="str">
        <f>INDEX('Salesperson Analysis'!$A$5:$A$14,MATCH(2,'Salesperson Analysis'!$G$5:$G$14,0))</f>
        <v>Natasha Song</v>
      </c>
      <c r="B16" s="1">
        <f>INDEX('Salesperson Analysis'!$B$5:$B$14,MATCH(2,'Salesperson Analysis'!$G$5:$G$14,0))</f>
        <v>52</v>
      </c>
      <c r="C16" s="30">
        <f>INDEX('Salesperson Analysis'!$C$5:$C$14,MATCH(2,'Salesperson Analysis'!$G$5:$G$14,0))</f>
        <v>105627.70560000003</v>
      </c>
      <c r="H16" s="1" t="str">
        <f>'Category Analysis'!A6</f>
        <v>Office Supplies</v>
      </c>
      <c r="I16" s="1">
        <f>'Category Analysis'!B6</f>
        <v>16669</v>
      </c>
      <c r="J16" s="30">
        <f>'Category Analysis'!C6</f>
        <v>266028.18439999985</v>
      </c>
      <c r="O16" s="1" t="str">
        <f>'State Analysis'!A6</f>
        <v>VIC</v>
      </c>
      <c r="P16" s="1">
        <f>'State Analysis'!B6</f>
        <v>184</v>
      </c>
      <c r="Q16" s="30">
        <f>'State Analysis'!C6</f>
        <v>210288.42690000002</v>
      </c>
    </row>
    <row r="17" spans="1:17">
      <c r="A17" s="1" t="str">
        <f>INDEX('Salesperson Analysis'!$A$5:$A$14,MATCH(3,'Salesperson Analysis'!$G$5:$G$14,0))</f>
        <v>Charlie Bui</v>
      </c>
      <c r="B17" s="1">
        <f>INDEX('Salesperson Analysis'!$B$5:$B$14,MATCH(3,'Salesperson Analysis'!$G$5:$G$14,0))</f>
        <v>38</v>
      </c>
      <c r="C17" s="30">
        <f>INDEX('Salesperson Analysis'!$C$5:$C$14,MATCH(3,'Salesperson Analysis'!$G$5:$G$14,0))</f>
        <v>74020.827800000014</v>
      </c>
      <c r="H17" s="1" t="str">
        <f>'Category Analysis'!A7</f>
        <v>Technology</v>
      </c>
      <c r="I17" s="1">
        <f>'Category Analysis'!B7</f>
        <v>3713</v>
      </c>
      <c r="J17" s="30">
        <f>'Category Analysis'!C7</f>
        <v>655179.74020000012</v>
      </c>
      <c r="O17" s="1" t="str">
        <f>'State Analysis'!A7</f>
        <v>WA</v>
      </c>
      <c r="P17" s="1">
        <f>'State Analysis'!B7</f>
        <v>148</v>
      </c>
      <c r="Q17" s="30">
        <f>'State Analysis'!C7</f>
        <v>157443.22970000005</v>
      </c>
    </row>
    <row r="18" spans="1:17">
      <c r="A18" s="1" t="str">
        <f>INDEX('Salesperson Analysis'!$A$5:$A$14,MATCH(4,'Salesperson Analysis'!$G$5:$G$14,0))</f>
        <v>Mihael Khan</v>
      </c>
      <c r="B18" s="1">
        <f>INDEX('Salesperson Analysis'!$B$5:$B$14,MATCH(4,'Salesperson Analysis'!$G$5:$G$14,0))</f>
        <v>55</v>
      </c>
      <c r="C18" s="30">
        <f>INDEX('Salesperson Analysis'!$C$5:$C$14,MATCH(4,'Salesperson Analysis'!$G$5:$G$14,0))</f>
        <v>76239.294899999994</v>
      </c>
    </row>
    <row r="19" spans="1:17">
      <c r="A19" s="1" t="str">
        <f>INDEX('Salesperson Analysis'!$A$5:$A$14,MATCH(5,'Salesperson Analysis'!$G$5:$G$14,0))</f>
        <v>Samantha Chairs</v>
      </c>
      <c r="B19" s="1">
        <f>INDEX('Salesperson Analysis'!$B$5:$B$14,MATCH(5,'Salesperson Analysis'!$G$5:$G$14,0))</f>
        <v>50</v>
      </c>
      <c r="C19" s="30">
        <f>INDEX('Salesperson Analysis'!$C$5:$C$14,MATCH(5,'Salesperson Analysis'!$G$5:$G$14,0))</f>
        <v>65786.384399999981</v>
      </c>
    </row>
    <row r="20" spans="1:17">
      <c r="A20" s="1"/>
      <c r="B20" s="1"/>
      <c r="C20" s="1"/>
    </row>
    <row r="40" spans="1:18">
      <c r="A40" s="2" t="s">
        <v>382</v>
      </c>
      <c r="H40" s="2" t="s">
        <v>381</v>
      </c>
      <c r="O40" s="2" t="s">
        <v>385</v>
      </c>
    </row>
    <row r="41" spans="1:18">
      <c r="A41" s="3" t="s">
        <v>14</v>
      </c>
      <c r="B41" s="3" t="s">
        <v>4</v>
      </c>
      <c r="C41" s="3" t="s">
        <v>9</v>
      </c>
      <c r="H41" s="3" t="s">
        <v>12</v>
      </c>
      <c r="I41" s="3" t="s">
        <v>4</v>
      </c>
      <c r="J41" s="3" t="s">
        <v>9</v>
      </c>
      <c r="O41" s="3" t="s">
        <v>14</v>
      </c>
      <c r="P41" s="3" t="s">
        <v>4</v>
      </c>
      <c r="Q41" s="3" t="s">
        <v>15</v>
      </c>
      <c r="R41" s="3" t="s">
        <v>9</v>
      </c>
    </row>
    <row r="42" spans="1:18">
      <c r="A42" s="1" t="str">
        <f>'Monthly Analysis'!A5</f>
        <v>Jan</v>
      </c>
      <c r="B42" s="1">
        <f>'Monthly Analysis'!B5</f>
        <v>65</v>
      </c>
      <c r="C42" s="30">
        <f>'Monthly Analysis'!C5</f>
        <v>56974.562299999998</v>
      </c>
      <c r="H42" s="1" t="str">
        <f>'Customer Analysis'!A5</f>
        <v>Consumer</v>
      </c>
      <c r="I42" s="1">
        <f>'Customer Analysis'!B5</f>
        <v>140</v>
      </c>
      <c r="J42" s="30">
        <f>'Customer Analysis'!C5</f>
        <v>167363.29670000004</v>
      </c>
      <c r="O42" s="1" t="str">
        <f>'Delivery Analysis'!A5</f>
        <v>Fast</v>
      </c>
      <c r="P42" s="1">
        <f>'Delivery Analysis'!B5</f>
        <v>101</v>
      </c>
      <c r="Q42" s="1">
        <f>'Delivery Analysis'!C5</f>
        <v>2.0693069306930694</v>
      </c>
      <c r="R42" s="30">
        <f>'Delivery Analysis'!D5</f>
        <v>130997.3836</v>
      </c>
    </row>
    <row r="43" spans="1:18">
      <c r="A43" s="1" t="str">
        <f>'Monthly Analysis'!A6</f>
        <v>Feb</v>
      </c>
      <c r="B43" s="1">
        <f>'Monthly Analysis'!B6</f>
        <v>53</v>
      </c>
      <c r="C43" s="30">
        <f>'Monthly Analysis'!C6</f>
        <v>58662.095600000001</v>
      </c>
      <c r="H43" s="1" t="str">
        <f>'Customer Analysis'!A6</f>
        <v>Corporate</v>
      </c>
      <c r="I43" s="1">
        <f>'Customer Analysis'!B6</f>
        <v>275</v>
      </c>
      <c r="J43" s="30">
        <f>'Customer Analysis'!C6</f>
        <v>369291.80419999966</v>
      </c>
      <c r="O43" s="1" t="str">
        <f>'Delivery Analysis'!A6</f>
        <v>Standard</v>
      </c>
      <c r="P43" s="1">
        <f>'Delivery Analysis'!B6</f>
        <v>137</v>
      </c>
      <c r="Q43" s="1">
        <f>'Delivery Analysis'!C6</f>
        <v>5.5985401459854014</v>
      </c>
      <c r="R43" s="30">
        <f>'Delivery Analysis'!D6</f>
        <v>90110.98030000001</v>
      </c>
    </row>
    <row r="44" spans="1:18">
      <c r="A44" s="1" t="str">
        <f>'Monthly Analysis'!A7</f>
        <v>Mar</v>
      </c>
      <c r="B44" s="1">
        <f>'Monthly Analysis'!B7</f>
        <v>75</v>
      </c>
      <c r="C44" s="30">
        <f>'Monthly Analysis'!C7</f>
        <v>143970.11760000003</v>
      </c>
      <c r="H44" s="1" t="str">
        <f>'Customer Analysis'!A7</f>
        <v>Home Office</v>
      </c>
      <c r="I44" s="1">
        <f>'Customer Analysis'!B7</f>
        <v>203</v>
      </c>
      <c r="J44" s="30">
        <f>'Customer Analysis'!C7</f>
        <v>220046.85589999991</v>
      </c>
      <c r="O44" s="1" t="str">
        <f>'Delivery Analysis'!A7</f>
        <v>Slow</v>
      </c>
      <c r="P44" s="1">
        <f>'Delivery Analysis'!B7</f>
        <v>247</v>
      </c>
      <c r="Q44" s="1">
        <f>'Delivery Analysis'!C7</f>
        <v>10.927125506072874</v>
      </c>
      <c r="R44" s="30">
        <f>'Delivery Analysis'!D7</f>
        <v>308364.37519999989</v>
      </c>
    </row>
    <row r="45" spans="1:18">
      <c r="A45" s="1" t="str">
        <f>'Monthly Analysis'!A8</f>
        <v>Apr</v>
      </c>
      <c r="B45" s="1">
        <f>'Monthly Analysis'!B8</f>
        <v>58</v>
      </c>
      <c r="C45" s="30">
        <f>'Monthly Analysis'!C8</f>
        <v>54408.572000000007</v>
      </c>
      <c r="H45" s="1" t="str">
        <f>'Customer Analysis'!A8</f>
        <v>Small Business</v>
      </c>
      <c r="I45" s="1">
        <f>'Customer Analysis'!B8</f>
        <v>161</v>
      </c>
      <c r="J45" s="30">
        <f>'Customer Analysis'!C8</f>
        <v>189467.8415000001</v>
      </c>
      <c r="O45" s="1" t="str">
        <f>'Delivery Analysis'!A8</f>
        <v>Very Slow</v>
      </c>
      <c r="P45" s="1">
        <f>'Delivery Analysis'!B8</f>
        <v>294</v>
      </c>
      <c r="Q45" s="1">
        <f>'Delivery Analysis'!C8</f>
        <v>18.663265306122447</v>
      </c>
      <c r="R45" s="30">
        <f>'Delivery Analysis'!D8</f>
        <v>416697.05919999984</v>
      </c>
    </row>
    <row r="46" spans="1:18">
      <c r="A46" s="1" t="str">
        <f>'Monthly Analysis'!A9</f>
        <v>May</v>
      </c>
      <c r="B46" s="1">
        <f>'Monthly Analysis'!B9</f>
        <v>66</v>
      </c>
      <c r="C46" s="30">
        <f>'Monthly Analysis'!C9</f>
        <v>87835.631100000013</v>
      </c>
    </row>
    <row r="47" spans="1:18">
      <c r="A47" s="1" t="str">
        <f>'Monthly Analysis'!A10</f>
        <v>Jun</v>
      </c>
      <c r="B47" s="1">
        <f>'Monthly Analysis'!B10</f>
        <v>61</v>
      </c>
      <c r="C47" s="30">
        <f>'Monthly Analysis'!C10</f>
        <v>93178.520099999994</v>
      </c>
    </row>
    <row r="48" spans="1:18">
      <c r="A48" s="1" t="str">
        <f>'Monthly Analysis'!A11</f>
        <v>Jul</v>
      </c>
      <c r="B48" s="1">
        <f>'Monthly Analysis'!B11</f>
        <v>68</v>
      </c>
      <c r="C48" s="30">
        <f>'Monthly Analysis'!C11</f>
        <v>105093.68580000001</v>
      </c>
    </row>
    <row r="49" spans="1:3">
      <c r="A49" s="1" t="str">
        <f>'Monthly Analysis'!A12</f>
        <v>Aug</v>
      </c>
      <c r="B49" s="1">
        <f>'Monthly Analysis'!B12</f>
        <v>67</v>
      </c>
      <c r="C49" s="30">
        <f>'Monthly Analysis'!C12</f>
        <v>43467.029399999992</v>
      </c>
    </row>
    <row r="50" spans="1:3">
      <c r="A50" s="1" t="str">
        <f>'Monthly Analysis'!A13</f>
        <v>Sep</v>
      </c>
      <c r="B50" s="1">
        <f>'Monthly Analysis'!B13</f>
        <v>65</v>
      </c>
      <c r="C50" s="30">
        <f>'Monthly Analysis'!C13</f>
        <v>73635.172499999986</v>
      </c>
    </row>
    <row r="51" spans="1:3">
      <c r="A51" s="1" t="str">
        <f>'Monthly Analysis'!A14</f>
        <v>Oct</v>
      </c>
      <c r="B51" s="1">
        <f>'Monthly Analysis'!B14</f>
        <v>66</v>
      </c>
      <c r="C51" s="30">
        <f>'Monthly Analysis'!C14</f>
        <v>54593.491800000003</v>
      </c>
    </row>
    <row r="52" spans="1:3">
      <c r="A52" s="1" t="str">
        <f>'Monthly Analysis'!A15</f>
        <v>Nov</v>
      </c>
      <c r="B52" s="1">
        <f>'Monthly Analysis'!B15</f>
        <v>58</v>
      </c>
      <c r="C52" s="30">
        <f>'Monthly Analysis'!C15</f>
        <v>59446.994099999982</v>
      </c>
    </row>
    <row r="53" spans="1:3">
      <c r="A53" s="1" t="str">
        <f>'Monthly Analysis'!A16</f>
        <v>Dec</v>
      </c>
      <c r="B53" s="1">
        <f>'Monthly Analysis'!B16</f>
        <v>77</v>
      </c>
      <c r="C53" s="30">
        <f>'Monthly Analysis'!C16</f>
        <v>114903.92600000001</v>
      </c>
    </row>
  </sheetData>
  <mergeCells count="15">
    <mergeCell ref="K9:N10"/>
    <mergeCell ref="P4:U4"/>
    <mergeCell ref="K8:N8"/>
    <mergeCell ref="K5:N6"/>
    <mergeCell ref="K4:N4"/>
    <mergeCell ref="A1:H1"/>
    <mergeCell ref="F5:I6"/>
    <mergeCell ref="A2:H2"/>
    <mergeCell ref="F4:I4"/>
    <mergeCell ref="F9:I10"/>
    <mergeCell ref="A5:D6"/>
    <mergeCell ref="A8:D8"/>
    <mergeCell ref="A9:D10"/>
    <mergeCell ref="F8:I8"/>
    <mergeCell ref="A4:D4"/>
  </mergeCells>
  <conditionalFormatting sqref="C42:C5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{E654067A-CE2A-4DE0-9F1C-31AFC5B0F200}</x14:id>
        </ext>
      </extLst>
    </cfRule>
  </conditionalFormatting>
  <pageMargins left="0.75" right="0.75" top="1" bottom="1" header="0.5" footer="0.5"/>
  <pageSetup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54067A-CE2A-4DE0-9F1C-31AFC5B0F2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C42:C53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>
          <x14:formula1>
            <xm:f>'Salesperson Analysis'!$A$5:$A$17</xm:f>
          </x14:formula1>
          <xm:sqref>Q5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showGridLines="0" workbookViewId="0">
      <selection sqref="A1:H1"/>
    </sheetView>
  </sheetViews>
  <sheetFormatPr defaultRowHeight="14.4"/>
  <cols>
    <col min="1" max="1" width="23" customWidth="1"/>
    <col min="2" max="2" width="105" customWidth="1"/>
  </cols>
  <sheetData>
    <row r="1" spans="1:8" ht="28.05" customHeight="1">
      <c r="A1" s="35" t="s">
        <v>23</v>
      </c>
      <c r="B1" s="36"/>
      <c r="C1" s="36"/>
      <c r="D1" s="36"/>
      <c r="E1" s="36"/>
      <c r="F1" s="36"/>
      <c r="G1" s="36"/>
      <c r="H1" s="36"/>
    </row>
    <row r="2" spans="1:8">
      <c r="A2" s="39" t="s">
        <v>24</v>
      </c>
      <c r="B2" s="36"/>
      <c r="C2" s="36"/>
      <c r="D2" s="36"/>
      <c r="E2" s="36"/>
      <c r="F2" s="36"/>
      <c r="G2" s="36"/>
      <c r="H2" s="36"/>
    </row>
    <row r="4" spans="1:8" ht="42" customHeight="1">
      <c r="A4" s="7" t="s">
        <v>25</v>
      </c>
      <c r="B4" s="8" t="s">
        <v>26</v>
      </c>
    </row>
    <row r="5" spans="1:8" ht="42" customHeight="1">
      <c r="A5" s="7" t="s">
        <v>27</v>
      </c>
      <c r="B5" s="8" t="s">
        <v>28</v>
      </c>
    </row>
    <row r="6" spans="1:8" ht="42" customHeight="1">
      <c r="A6" s="7" t="s">
        <v>29</v>
      </c>
      <c r="B6" s="8" t="s">
        <v>30</v>
      </c>
    </row>
    <row r="7" spans="1:8" ht="42" customHeight="1">
      <c r="A7" s="7" t="s">
        <v>31</v>
      </c>
      <c r="B7" s="8" t="s">
        <v>32</v>
      </c>
    </row>
    <row r="8" spans="1:8" ht="42" customHeight="1">
      <c r="A8" s="7" t="s">
        <v>33</v>
      </c>
      <c r="B8" s="8" t="s">
        <v>34</v>
      </c>
    </row>
    <row r="9" spans="1:8" ht="42" customHeight="1">
      <c r="A9" s="7" t="s">
        <v>35</v>
      </c>
      <c r="B9" s="8" t="s">
        <v>36</v>
      </c>
    </row>
    <row r="10" spans="1:8" ht="42" customHeight="1">
      <c r="A10" s="7" t="s">
        <v>37</v>
      </c>
      <c r="B10" s="8" t="s">
        <v>38</v>
      </c>
    </row>
    <row r="11" spans="1:8" ht="42" customHeight="1">
      <c r="A11" s="7" t="s">
        <v>39</v>
      </c>
      <c r="B11" s="8" t="s">
        <v>40</v>
      </c>
    </row>
  </sheetData>
  <mergeCells count="2">
    <mergeCell ref="A2:H2"/>
    <mergeCell ref="A1:H1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783"/>
  <sheetViews>
    <sheetView topLeftCell="I1" workbookViewId="0">
      <pane ySplit="4" topLeftCell="A758" activePane="bottomLeft" state="frozen"/>
      <selection pane="bottomLeft" activeCell="H773" sqref="H773"/>
    </sheetView>
  </sheetViews>
  <sheetFormatPr defaultRowHeight="14.4"/>
  <cols>
    <col min="1" max="1" width="12" customWidth="1"/>
    <col min="2" max="2" width="13" customWidth="1"/>
    <col min="3" max="3" width="14" customWidth="1"/>
    <col min="4" max="4" width="10" customWidth="1"/>
    <col min="5" max="5" width="18" customWidth="1"/>
    <col min="6" max="7" width="20" customWidth="1"/>
    <col min="8" max="8" width="17" customWidth="1"/>
    <col min="9" max="9" width="28" customWidth="1"/>
    <col min="10" max="10" width="13.6640625" bestFit="1" customWidth="1"/>
    <col min="11" max="11" width="14.6640625" bestFit="1" customWidth="1"/>
    <col min="12" max="12" width="16.5546875" bestFit="1" customWidth="1"/>
    <col min="13" max="13" width="18.109375" bestFit="1" customWidth="1"/>
    <col min="14" max="14" width="13.33203125" bestFit="1" customWidth="1"/>
    <col min="15" max="15" width="14.6640625" bestFit="1" customWidth="1"/>
    <col min="16" max="16" width="14.21875" bestFit="1" customWidth="1"/>
    <col min="17" max="17" width="14" customWidth="1"/>
    <col min="18" max="18" width="16.44140625" bestFit="1" customWidth="1"/>
    <col min="19" max="19" width="14" customWidth="1"/>
    <col min="20" max="20" width="15.109375" bestFit="1" customWidth="1"/>
    <col min="21" max="21" width="12" bestFit="1" customWidth="1"/>
    <col min="22" max="22" width="18.5546875" bestFit="1" customWidth="1"/>
    <col min="23" max="23" width="19.6640625" bestFit="1" customWidth="1"/>
  </cols>
  <sheetData>
    <row r="1" spans="1:23" ht="23.4">
      <c r="A1" s="35" t="s">
        <v>41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s="46" customFormat="1"/>
    <row r="4" spans="1:23">
      <c r="A4" s="9" t="s">
        <v>42</v>
      </c>
      <c r="B4" s="9" t="s">
        <v>43</v>
      </c>
      <c r="C4" s="9" t="s">
        <v>44</v>
      </c>
      <c r="D4" s="9" t="s">
        <v>11</v>
      </c>
      <c r="E4" s="9" t="s">
        <v>12</v>
      </c>
      <c r="F4" s="9" t="s">
        <v>8</v>
      </c>
      <c r="G4" s="9" t="s">
        <v>10</v>
      </c>
      <c r="H4" s="9" t="s">
        <v>45</v>
      </c>
      <c r="I4" s="9" t="s">
        <v>46</v>
      </c>
      <c r="J4" s="9" t="s">
        <v>47</v>
      </c>
      <c r="K4" s="9" t="s">
        <v>48</v>
      </c>
      <c r="L4" s="9" t="s">
        <v>49</v>
      </c>
      <c r="M4" s="9" t="s">
        <v>50</v>
      </c>
      <c r="N4" s="9" t="s">
        <v>51</v>
      </c>
      <c r="O4" s="9" t="s">
        <v>52</v>
      </c>
      <c r="P4" s="31" t="s">
        <v>386</v>
      </c>
      <c r="Q4" s="9" t="s">
        <v>9</v>
      </c>
      <c r="R4" s="9" t="s">
        <v>53</v>
      </c>
      <c r="S4" s="9" t="s">
        <v>54</v>
      </c>
      <c r="T4" s="9" t="s">
        <v>3</v>
      </c>
      <c r="U4" s="9" t="s">
        <v>55</v>
      </c>
      <c r="V4" s="9" t="s">
        <v>13</v>
      </c>
      <c r="W4" s="9" t="s">
        <v>56</v>
      </c>
    </row>
    <row r="5" spans="1:23">
      <c r="A5" s="1">
        <v>56623</v>
      </c>
      <c r="B5" s="10">
        <v>45658</v>
      </c>
      <c r="C5" s="1">
        <v>13</v>
      </c>
      <c r="D5" s="1" t="s">
        <v>57</v>
      </c>
      <c r="E5" s="1" t="s">
        <v>58</v>
      </c>
      <c r="F5" s="1" t="s">
        <v>59</v>
      </c>
      <c r="G5" s="1" t="s">
        <v>60</v>
      </c>
      <c r="H5" s="1" t="s">
        <v>61</v>
      </c>
      <c r="I5" s="1" t="s">
        <v>62</v>
      </c>
      <c r="J5" s="24">
        <v>4.1900000000000004</v>
      </c>
      <c r="K5" s="24">
        <v>10.23</v>
      </c>
      <c r="L5" s="28">
        <v>6.04</v>
      </c>
      <c r="M5" s="1">
        <v>45</v>
      </c>
      <c r="N5" s="28">
        <v>460.35</v>
      </c>
      <c r="O5" s="29">
        <v>0.08</v>
      </c>
      <c r="P5" s="28">
        <v>36.828000000000003</v>
      </c>
      <c r="Q5" s="28">
        <v>423.52199999999999</v>
      </c>
      <c r="R5" s="1" t="str">
        <f t="shared" ref="R5:R68" si="0">TEXT(B5,"mmm")</f>
        <v>Jan</v>
      </c>
      <c r="S5" s="28">
        <f>J5*M5</f>
        <v>188.55</v>
      </c>
      <c r="T5" s="28">
        <f>Q5-S5</f>
        <v>234.97199999999998</v>
      </c>
      <c r="U5" s="11">
        <f t="shared" ref="U5:U68" si="1">IF(Q5=0,0,T5/Q5)</f>
        <v>0.55480470908240886</v>
      </c>
      <c r="V5" s="1" t="str">
        <f t="shared" ref="V5:V68" si="2">IF(C5&lt;=3,"Fast",IF(C5&lt;=7,"Standard",IF(C5&lt;=14,"Slow","Very Slow")))</f>
        <v>Slow</v>
      </c>
      <c r="W5" s="1" t="str">
        <f t="shared" ref="W5:W68" si="3">IF(OR(H5="Not Specifiedd",P5&lt;0),"Review","OK")</f>
        <v>OK</v>
      </c>
    </row>
    <row r="6" spans="1:23">
      <c r="A6" s="1">
        <v>56624</v>
      </c>
      <c r="B6" s="10">
        <v>45658</v>
      </c>
      <c r="C6" s="1">
        <v>6</v>
      </c>
      <c r="D6" s="1" t="s">
        <v>63</v>
      </c>
      <c r="E6" s="1" t="s">
        <v>58</v>
      </c>
      <c r="F6" s="1" t="s">
        <v>64</v>
      </c>
      <c r="G6" s="1" t="s">
        <v>60</v>
      </c>
      <c r="H6" s="1" t="s">
        <v>65</v>
      </c>
      <c r="I6" s="1" t="s">
        <v>66</v>
      </c>
      <c r="J6" s="24">
        <v>0.94</v>
      </c>
      <c r="K6" s="24">
        <v>1.88</v>
      </c>
      <c r="L6" s="28">
        <v>0.94</v>
      </c>
      <c r="M6" s="1">
        <v>36</v>
      </c>
      <c r="N6" s="28">
        <v>67.679999999999993</v>
      </c>
      <c r="O6" s="29">
        <v>0.1</v>
      </c>
      <c r="P6" s="28">
        <v>-6.77</v>
      </c>
      <c r="Q6" s="28">
        <v>74.449999999999989</v>
      </c>
      <c r="R6" s="1" t="str">
        <f t="shared" si="0"/>
        <v>Jan</v>
      </c>
      <c r="S6" s="28">
        <f t="shared" ref="S6:S69" si="4">J6*M6</f>
        <v>33.839999999999996</v>
      </c>
      <c r="T6" s="28">
        <f t="shared" ref="T6:T69" si="5">Q6-S6</f>
        <v>40.609999999999992</v>
      </c>
      <c r="U6" s="11">
        <f t="shared" si="1"/>
        <v>0.54546675621222296</v>
      </c>
      <c r="V6" s="1" t="str">
        <f t="shared" si="2"/>
        <v>Standard</v>
      </c>
      <c r="W6" s="1" t="str">
        <f t="shared" si="3"/>
        <v>Review</v>
      </c>
    </row>
    <row r="7" spans="1:23">
      <c r="A7" s="1">
        <v>56625</v>
      </c>
      <c r="B7" s="10">
        <v>45659</v>
      </c>
      <c r="C7" s="1">
        <v>3</v>
      </c>
      <c r="D7" s="1" t="s">
        <v>57</v>
      </c>
      <c r="E7" s="1" t="s">
        <v>67</v>
      </c>
      <c r="F7" s="1" t="s">
        <v>64</v>
      </c>
      <c r="G7" s="1" t="s">
        <v>60</v>
      </c>
      <c r="H7" s="1" t="s">
        <v>68</v>
      </c>
      <c r="I7" s="1" t="s">
        <v>69</v>
      </c>
      <c r="J7" s="24">
        <v>3.37</v>
      </c>
      <c r="K7" s="24">
        <v>5.53</v>
      </c>
      <c r="L7" s="28">
        <v>2.16</v>
      </c>
      <c r="M7" s="1">
        <v>21</v>
      </c>
      <c r="N7" s="28">
        <v>116.13</v>
      </c>
      <c r="O7" s="29">
        <v>0.02</v>
      </c>
      <c r="P7" s="28">
        <v>2.3226</v>
      </c>
      <c r="Q7" s="28">
        <v>113.8074</v>
      </c>
      <c r="R7" s="1" t="str">
        <f t="shared" si="0"/>
        <v>Jan</v>
      </c>
      <c r="S7" s="28">
        <f t="shared" si="4"/>
        <v>70.77</v>
      </c>
      <c r="T7" s="28">
        <f t="shared" si="5"/>
        <v>43.037400000000005</v>
      </c>
      <c r="U7" s="11">
        <f t="shared" si="1"/>
        <v>0.37815994390522939</v>
      </c>
      <c r="V7" s="1" t="str">
        <f t="shared" si="2"/>
        <v>Fast</v>
      </c>
      <c r="W7" s="1" t="str">
        <f t="shared" si="3"/>
        <v>OK</v>
      </c>
    </row>
    <row r="8" spans="1:23">
      <c r="A8" s="1">
        <v>56626</v>
      </c>
      <c r="B8" s="10">
        <v>45661</v>
      </c>
      <c r="C8" s="1">
        <v>15</v>
      </c>
      <c r="D8" s="1" t="s">
        <v>57</v>
      </c>
      <c r="E8" s="1" t="s">
        <v>58</v>
      </c>
      <c r="F8" s="1" t="s">
        <v>64</v>
      </c>
      <c r="G8" s="1" t="s">
        <v>60</v>
      </c>
      <c r="H8" s="1" t="s">
        <v>70</v>
      </c>
      <c r="I8" s="1" t="s">
        <v>71</v>
      </c>
      <c r="J8" s="24">
        <v>3.95</v>
      </c>
      <c r="K8" s="24">
        <v>6.08</v>
      </c>
      <c r="L8" s="28">
        <v>2.13</v>
      </c>
      <c r="M8" s="1">
        <v>48</v>
      </c>
      <c r="N8" s="28">
        <v>291.83999999999997</v>
      </c>
      <c r="O8" s="29">
        <v>0.03</v>
      </c>
      <c r="P8" s="28">
        <v>8.7552000000000003</v>
      </c>
      <c r="Q8" s="28">
        <v>283.08479999999997</v>
      </c>
      <c r="R8" s="1" t="str">
        <f t="shared" si="0"/>
        <v>Jan</v>
      </c>
      <c r="S8" s="28">
        <f t="shared" si="4"/>
        <v>189.60000000000002</v>
      </c>
      <c r="T8" s="28">
        <f t="shared" si="5"/>
        <v>93.48479999999995</v>
      </c>
      <c r="U8" s="11">
        <f t="shared" si="1"/>
        <v>0.33023602821486692</v>
      </c>
      <c r="V8" s="1" t="str">
        <f t="shared" si="2"/>
        <v>Very Slow</v>
      </c>
      <c r="W8" s="1" t="str">
        <f t="shared" si="3"/>
        <v>OK</v>
      </c>
    </row>
    <row r="9" spans="1:23">
      <c r="A9" s="1">
        <v>56627</v>
      </c>
      <c r="B9" s="10">
        <v>45662</v>
      </c>
      <c r="C9" s="1">
        <v>4</v>
      </c>
      <c r="D9" s="1" t="s">
        <v>57</v>
      </c>
      <c r="E9" s="1" t="s">
        <v>72</v>
      </c>
      <c r="F9" s="1" t="s">
        <v>73</v>
      </c>
      <c r="G9" s="1" t="s">
        <v>60</v>
      </c>
      <c r="H9" s="1" t="s">
        <v>65</v>
      </c>
      <c r="I9" s="1" t="s">
        <v>74</v>
      </c>
      <c r="J9" s="24">
        <v>3.88</v>
      </c>
      <c r="K9" s="24">
        <v>6.47</v>
      </c>
      <c r="L9" s="28">
        <v>2.59</v>
      </c>
      <c r="M9" s="1">
        <v>18</v>
      </c>
      <c r="N9" s="28">
        <v>116.46</v>
      </c>
      <c r="O9" s="29">
        <v>0.04</v>
      </c>
      <c r="P9" s="28">
        <v>4.6583999999999994</v>
      </c>
      <c r="Q9" s="28">
        <v>111.80159999999999</v>
      </c>
      <c r="R9" s="1" t="str">
        <f t="shared" si="0"/>
        <v>Jan</v>
      </c>
      <c r="S9" s="28">
        <f t="shared" si="4"/>
        <v>69.84</v>
      </c>
      <c r="T9" s="28">
        <f t="shared" si="5"/>
        <v>41.96159999999999</v>
      </c>
      <c r="U9" s="11">
        <f t="shared" si="1"/>
        <v>0.37532199896960322</v>
      </c>
      <c r="V9" s="1" t="str">
        <f t="shared" si="2"/>
        <v>Standard</v>
      </c>
      <c r="W9" s="1" t="str">
        <f t="shared" si="3"/>
        <v>OK</v>
      </c>
    </row>
    <row r="10" spans="1:23">
      <c r="A10" s="1">
        <v>56628</v>
      </c>
      <c r="B10" s="10">
        <v>45662</v>
      </c>
      <c r="C10" s="1">
        <v>12</v>
      </c>
      <c r="D10" s="1" t="s">
        <v>63</v>
      </c>
      <c r="E10" s="1" t="s">
        <v>72</v>
      </c>
      <c r="F10" s="1" t="s">
        <v>75</v>
      </c>
      <c r="G10" s="1" t="s">
        <v>60</v>
      </c>
      <c r="H10" s="1" t="s">
        <v>76</v>
      </c>
      <c r="I10" s="1" t="s">
        <v>77</v>
      </c>
      <c r="J10" s="24">
        <v>12.39</v>
      </c>
      <c r="K10" s="24">
        <v>19.98</v>
      </c>
      <c r="L10" s="28">
        <v>7.59</v>
      </c>
      <c r="M10" s="1">
        <v>45</v>
      </c>
      <c r="N10" s="28">
        <v>899.1</v>
      </c>
      <c r="O10" s="29">
        <v>0.04</v>
      </c>
      <c r="P10" s="28">
        <v>35.963999999999999</v>
      </c>
      <c r="Q10" s="28">
        <v>863.13599999999997</v>
      </c>
      <c r="R10" s="1" t="str">
        <f t="shared" si="0"/>
        <v>Jan</v>
      </c>
      <c r="S10" s="28">
        <f t="shared" si="4"/>
        <v>557.55000000000007</v>
      </c>
      <c r="T10" s="28">
        <f t="shared" si="5"/>
        <v>305.5859999999999</v>
      </c>
      <c r="U10" s="11">
        <f t="shared" si="1"/>
        <v>0.35404154154154144</v>
      </c>
      <c r="V10" s="1" t="str">
        <f t="shared" si="2"/>
        <v>Slow</v>
      </c>
      <c r="W10" s="1" t="str">
        <f t="shared" si="3"/>
        <v>Review</v>
      </c>
    </row>
    <row r="11" spans="1:23">
      <c r="A11" s="1">
        <v>56629</v>
      </c>
      <c r="B11" s="10">
        <v>45663</v>
      </c>
      <c r="C11" s="1">
        <v>7</v>
      </c>
      <c r="D11" s="1" t="s">
        <v>57</v>
      </c>
      <c r="E11" s="1" t="s">
        <v>58</v>
      </c>
      <c r="F11" s="1" t="s">
        <v>75</v>
      </c>
      <c r="G11" s="1" t="s">
        <v>60</v>
      </c>
      <c r="H11" s="1" t="s">
        <v>65</v>
      </c>
      <c r="I11" s="1" t="s">
        <v>62</v>
      </c>
      <c r="J11" s="24">
        <v>4.1900000000000004</v>
      </c>
      <c r="K11" s="24">
        <v>10.23</v>
      </c>
      <c r="L11" s="28">
        <v>6.04</v>
      </c>
      <c r="M11" s="1">
        <v>16</v>
      </c>
      <c r="N11" s="28">
        <v>163.68</v>
      </c>
      <c r="O11" s="29">
        <v>0.02</v>
      </c>
      <c r="P11" s="28">
        <v>3.2736000000000001</v>
      </c>
      <c r="Q11" s="28">
        <v>160.40639999999999</v>
      </c>
      <c r="R11" s="1" t="str">
        <f t="shared" si="0"/>
        <v>Jan</v>
      </c>
      <c r="S11" s="28">
        <f t="shared" si="4"/>
        <v>67.040000000000006</v>
      </c>
      <c r="T11" s="28">
        <f t="shared" si="5"/>
        <v>93.366399999999985</v>
      </c>
      <c r="U11" s="11">
        <f t="shared" si="1"/>
        <v>0.58206156362838379</v>
      </c>
      <c r="V11" s="1" t="str">
        <f t="shared" si="2"/>
        <v>Standard</v>
      </c>
      <c r="W11" s="1" t="str">
        <f t="shared" si="3"/>
        <v>OK</v>
      </c>
    </row>
    <row r="12" spans="1:23">
      <c r="A12" s="1">
        <v>56630</v>
      </c>
      <c r="B12" s="10">
        <v>45663</v>
      </c>
      <c r="C12" s="1">
        <v>1</v>
      </c>
      <c r="D12" s="1" t="s">
        <v>78</v>
      </c>
      <c r="E12" s="1" t="s">
        <v>67</v>
      </c>
      <c r="F12" s="1" t="s">
        <v>79</v>
      </c>
      <c r="G12" s="1" t="s">
        <v>60</v>
      </c>
      <c r="H12" s="1" t="s">
        <v>70</v>
      </c>
      <c r="I12" s="1" t="s">
        <v>80</v>
      </c>
      <c r="J12" s="24">
        <v>4.46</v>
      </c>
      <c r="K12" s="24">
        <v>10.89</v>
      </c>
      <c r="L12" s="28">
        <v>6.4300000000000006</v>
      </c>
      <c r="M12" s="1">
        <v>10</v>
      </c>
      <c r="N12" s="28">
        <v>108.9</v>
      </c>
      <c r="O12" s="29">
        <v>0.1</v>
      </c>
      <c r="P12" s="28">
        <v>10.89</v>
      </c>
      <c r="Q12" s="28">
        <v>98.01</v>
      </c>
      <c r="R12" s="1" t="str">
        <f t="shared" si="0"/>
        <v>Jan</v>
      </c>
      <c r="S12" s="28">
        <f t="shared" si="4"/>
        <v>44.6</v>
      </c>
      <c r="T12" s="28">
        <f t="shared" si="5"/>
        <v>53.410000000000004</v>
      </c>
      <c r="U12" s="11">
        <f t="shared" si="1"/>
        <v>0.54494439342924195</v>
      </c>
      <c r="V12" s="1" t="str">
        <f t="shared" si="2"/>
        <v>Fast</v>
      </c>
      <c r="W12" s="1" t="str">
        <f t="shared" si="3"/>
        <v>OK</v>
      </c>
    </row>
    <row r="13" spans="1:23">
      <c r="A13" s="1">
        <v>56631</v>
      </c>
      <c r="B13" s="10">
        <v>45663</v>
      </c>
      <c r="C13" s="1">
        <v>3</v>
      </c>
      <c r="D13" s="1" t="s">
        <v>63</v>
      </c>
      <c r="E13" s="1" t="s">
        <v>72</v>
      </c>
      <c r="F13" s="1" t="s">
        <v>75</v>
      </c>
      <c r="G13" s="1" t="s">
        <v>81</v>
      </c>
      <c r="H13" s="1" t="s">
        <v>61</v>
      </c>
      <c r="I13" s="1" t="s">
        <v>82</v>
      </c>
      <c r="J13" s="24">
        <v>62.4</v>
      </c>
      <c r="K13" s="24">
        <v>155.99</v>
      </c>
      <c r="L13" s="28">
        <v>93.59</v>
      </c>
      <c r="M13" s="1">
        <v>5</v>
      </c>
      <c r="N13" s="28">
        <v>779.95</v>
      </c>
      <c r="O13" s="29">
        <v>0.02</v>
      </c>
      <c r="P13" s="28">
        <v>15.599</v>
      </c>
      <c r="Q13" s="28">
        <v>764.351</v>
      </c>
      <c r="R13" s="1" t="str">
        <f t="shared" si="0"/>
        <v>Jan</v>
      </c>
      <c r="S13" s="28">
        <f t="shared" si="4"/>
        <v>312</v>
      </c>
      <c r="T13" s="28">
        <f t="shared" si="5"/>
        <v>452.351</v>
      </c>
      <c r="U13" s="11">
        <f t="shared" si="1"/>
        <v>0.59181056870469195</v>
      </c>
      <c r="V13" s="1" t="str">
        <f t="shared" si="2"/>
        <v>Fast</v>
      </c>
      <c r="W13" s="1" t="str">
        <f t="shared" si="3"/>
        <v>OK</v>
      </c>
    </row>
    <row r="14" spans="1:23">
      <c r="A14" s="1">
        <v>56632</v>
      </c>
      <c r="B14" s="10">
        <v>45663</v>
      </c>
      <c r="C14" s="1">
        <v>4</v>
      </c>
      <c r="D14" s="1" t="s">
        <v>57</v>
      </c>
      <c r="E14" s="1" t="s">
        <v>58</v>
      </c>
      <c r="F14" s="1" t="s">
        <v>83</v>
      </c>
      <c r="G14" s="1" t="s">
        <v>60</v>
      </c>
      <c r="H14" s="1" t="s">
        <v>70</v>
      </c>
      <c r="I14" s="1" t="s">
        <v>80</v>
      </c>
      <c r="J14" s="24">
        <v>4.46</v>
      </c>
      <c r="K14" s="24">
        <v>10.89</v>
      </c>
      <c r="L14" s="28">
        <v>6.4300000000000006</v>
      </c>
      <c r="M14" s="1">
        <v>9</v>
      </c>
      <c r="N14" s="28">
        <v>98.01</v>
      </c>
      <c r="O14" s="29">
        <v>0.09</v>
      </c>
      <c r="P14" s="28">
        <v>8.8209</v>
      </c>
      <c r="Q14" s="28">
        <v>89.18910000000001</v>
      </c>
      <c r="R14" s="1" t="str">
        <f t="shared" si="0"/>
        <v>Jan</v>
      </c>
      <c r="S14" s="28">
        <f t="shared" si="4"/>
        <v>40.14</v>
      </c>
      <c r="T14" s="28">
        <f t="shared" si="5"/>
        <v>49.04910000000001</v>
      </c>
      <c r="U14" s="11">
        <f t="shared" si="1"/>
        <v>0.54994500449045913</v>
      </c>
      <c r="V14" s="1" t="str">
        <f t="shared" si="2"/>
        <v>Standard</v>
      </c>
      <c r="W14" s="1" t="str">
        <f t="shared" si="3"/>
        <v>OK</v>
      </c>
    </row>
    <row r="15" spans="1:23">
      <c r="A15" s="1">
        <v>56633</v>
      </c>
      <c r="B15" s="10">
        <v>45663</v>
      </c>
      <c r="C15" s="1">
        <v>5</v>
      </c>
      <c r="D15" s="1" t="s">
        <v>57</v>
      </c>
      <c r="E15" s="1" t="s">
        <v>72</v>
      </c>
      <c r="F15" s="1" t="s">
        <v>84</v>
      </c>
      <c r="G15" s="1" t="s">
        <v>85</v>
      </c>
      <c r="H15" s="1" t="s">
        <v>61</v>
      </c>
      <c r="I15" s="1" t="s">
        <v>86</v>
      </c>
      <c r="J15" s="24">
        <v>5.5</v>
      </c>
      <c r="K15" s="24">
        <v>12.22</v>
      </c>
      <c r="L15" s="28">
        <v>6.7200000000000006</v>
      </c>
      <c r="M15" s="1">
        <v>23</v>
      </c>
      <c r="N15" s="28">
        <v>281.06</v>
      </c>
      <c r="O15" s="29">
        <v>7.0000000000000007E-2</v>
      </c>
      <c r="P15" s="28">
        <v>19.674199999999999</v>
      </c>
      <c r="Q15" s="28">
        <v>261.38580000000002</v>
      </c>
      <c r="R15" s="1" t="str">
        <f t="shared" si="0"/>
        <v>Jan</v>
      </c>
      <c r="S15" s="28">
        <f t="shared" si="4"/>
        <v>126.5</v>
      </c>
      <c r="T15" s="28">
        <f t="shared" si="5"/>
        <v>134.88580000000002</v>
      </c>
      <c r="U15" s="11">
        <f t="shared" si="1"/>
        <v>0.51604103971983184</v>
      </c>
      <c r="V15" s="1" t="str">
        <f t="shared" si="2"/>
        <v>Standard</v>
      </c>
      <c r="W15" s="1" t="str">
        <f t="shared" si="3"/>
        <v>OK</v>
      </c>
    </row>
    <row r="16" spans="1:23">
      <c r="A16" s="1">
        <v>56634</v>
      </c>
      <c r="B16" s="10">
        <v>45663</v>
      </c>
      <c r="C16" s="1">
        <v>16</v>
      </c>
      <c r="D16" s="1" t="s">
        <v>57</v>
      </c>
      <c r="E16" s="1" t="s">
        <v>87</v>
      </c>
      <c r="F16" s="1" t="s">
        <v>88</v>
      </c>
      <c r="G16" s="1" t="s">
        <v>60</v>
      </c>
      <c r="H16" s="1" t="s">
        <v>65</v>
      </c>
      <c r="I16" s="1" t="s">
        <v>89</v>
      </c>
      <c r="J16" s="24">
        <v>1.76</v>
      </c>
      <c r="K16" s="24">
        <v>2.94</v>
      </c>
      <c r="L16" s="28">
        <v>1.18</v>
      </c>
      <c r="M16" s="1">
        <v>20</v>
      </c>
      <c r="N16" s="28">
        <v>58.8</v>
      </c>
      <c r="O16" s="29">
        <v>7.0000000000000007E-2</v>
      </c>
      <c r="P16" s="28">
        <v>4.1160000000000014</v>
      </c>
      <c r="Q16" s="28">
        <v>54.683999999999997</v>
      </c>
      <c r="R16" s="1" t="str">
        <f t="shared" si="0"/>
        <v>Jan</v>
      </c>
      <c r="S16" s="28">
        <f t="shared" si="4"/>
        <v>35.200000000000003</v>
      </c>
      <c r="T16" s="28">
        <f t="shared" si="5"/>
        <v>19.483999999999995</v>
      </c>
      <c r="U16" s="11">
        <f t="shared" si="1"/>
        <v>0.35630166044912581</v>
      </c>
      <c r="V16" s="1" t="str">
        <f t="shared" si="2"/>
        <v>Very Slow</v>
      </c>
      <c r="W16" s="1" t="str">
        <f t="shared" si="3"/>
        <v>OK</v>
      </c>
    </row>
    <row r="17" spans="1:23">
      <c r="A17" s="1">
        <v>56635</v>
      </c>
      <c r="B17" s="10">
        <v>45664</v>
      </c>
      <c r="C17" s="1">
        <v>10</v>
      </c>
      <c r="D17" s="1" t="s">
        <v>57</v>
      </c>
      <c r="E17" s="1" t="s">
        <v>87</v>
      </c>
      <c r="F17" s="1" t="s">
        <v>79</v>
      </c>
      <c r="G17" s="1" t="s">
        <v>60</v>
      </c>
      <c r="H17" s="1" t="s">
        <v>90</v>
      </c>
      <c r="I17" s="1" t="s">
        <v>91</v>
      </c>
      <c r="J17" s="24">
        <v>0.93</v>
      </c>
      <c r="K17" s="24">
        <v>1.48</v>
      </c>
      <c r="L17" s="28">
        <v>0.54999999999999993</v>
      </c>
      <c r="M17" s="1">
        <v>32</v>
      </c>
      <c r="N17" s="28">
        <v>47.36</v>
      </c>
      <c r="O17" s="29">
        <v>0.04</v>
      </c>
      <c r="P17" s="28">
        <v>1.8944000000000001</v>
      </c>
      <c r="Q17" s="28">
        <v>45.465600000000002</v>
      </c>
      <c r="R17" s="1" t="str">
        <f t="shared" si="0"/>
        <v>Jan</v>
      </c>
      <c r="S17" s="28">
        <f t="shared" si="4"/>
        <v>29.76</v>
      </c>
      <c r="T17" s="28">
        <f t="shared" si="5"/>
        <v>15.7056</v>
      </c>
      <c r="U17" s="11">
        <f t="shared" si="1"/>
        <v>0.3454391891891892</v>
      </c>
      <c r="V17" s="1" t="str">
        <f t="shared" si="2"/>
        <v>Slow</v>
      </c>
      <c r="W17" s="1" t="str">
        <f t="shared" si="3"/>
        <v>OK</v>
      </c>
    </row>
    <row r="18" spans="1:23">
      <c r="A18" s="1">
        <v>56636</v>
      </c>
      <c r="B18" s="10">
        <v>45664</v>
      </c>
      <c r="C18" s="1">
        <v>14</v>
      </c>
      <c r="D18" s="1" t="s">
        <v>57</v>
      </c>
      <c r="E18" s="1" t="s">
        <v>58</v>
      </c>
      <c r="F18" s="1" t="s">
        <v>84</v>
      </c>
      <c r="G18" s="1" t="s">
        <v>81</v>
      </c>
      <c r="H18" s="1" t="s">
        <v>65</v>
      </c>
      <c r="I18" s="1" t="s">
        <v>92</v>
      </c>
      <c r="J18" s="24">
        <v>39.64</v>
      </c>
      <c r="K18" s="24">
        <v>152.47999999999999</v>
      </c>
      <c r="L18" s="28">
        <v>112.84</v>
      </c>
      <c r="M18" s="1">
        <v>2</v>
      </c>
      <c r="N18" s="28">
        <v>304.95999999999998</v>
      </c>
      <c r="O18" s="29">
        <v>0.02</v>
      </c>
      <c r="P18" s="28">
        <v>6.0991999999999997</v>
      </c>
      <c r="Q18" s="28">
        <v>298.86079999999998</v>
      </c>
      <c r="R18" s="1" t="str">
        <f t="shared" si="0"/>
        <v>Jan</v>
      </c>
      <c r="S18" s="28">
        <f t="shared" si="4"/>
        <v>79.28</v>
      </c>
      <c r="T18" s="28">
        <f t="shared" si="5"/>
        <v>219.58079999999998</v>
      </c>
      <c r="U18" s="11">
        <f t="shared" si="1"/>
        <v>0.73472599952887763</v>
      </c>
      <c r="V18" s="1" t="str">
        <f t="shared" si="2"/>
        <v>Slow</v>
      </c>
      <c r="W18" s="1" t="str">
        <f t="shared" si="3"/>
        <v>OK</v>
      </c>
    </row>
    <row r="19" spans="1:23">
      <c r="A19" s="1">
        <v>56637</v>
      </c>
      <c r="B19" s="10">
        <v>45664</v>
      </c>
      <c r="C19" s="1">
        <v>3</v>
      </c>
      <c r="D19" s="1" t="s">
        <v>63</v>
      </c>
      <c r="E19" s="1" t="s">
        <v>87</v>
      </c>
      <c r="F19" s="1" t="s">
        <v>59</v>
      </c>
      <c r="G19" s="1" t="s">
        <v>60</v>
      </c>
      <c r="H19" s="1" t="s">
        <v>65</v>
      </c>
      <c r="I19" s="1" t="s">
        <v>93</v>
      </c>
      <c r="J19" s="24">
        <v>3.51</v>
      </c>
      <c r="K19" s="24">
        <v>8.57</v>
      </c>
      <c r="L19" s="28">
        <v>5.0599999999999996</v>
      </c>
      <c r="M19" s="1">
        <v>28</v>
      </c>
      <c r="N19" s="28">
        <v>239.96</v>
      </c>
      <c r="O19" s="29">
        <v>0.06</v>
      </c>
      <c r="P19" s="28">
        <v>14.397600000000001</v>
      </c>
      <c r="Q19" s="28">
        <v>225.5624</v>
      </c>
      <c r="R19" s="1" t="str">
        <f t="shared" si="0"/>
        <v>Jan</v>
      </c>
      <c r="S19" s="28">
        <f t="shared" si="4"/>
        <v>98.28</v>
      </c>
      <c r="T19" s="28">
        <f t="shared" si="5"/>
        <v>127.2824</v>
      </c>
      <c r="U19" s="11">
        <f t="shared" si="1"/>
        <v>0.5642890836415998</v>
      </c>
      <c r="V19" s="1" t="str">
        <f t="shared" si="2"/>
        <v>Fast</v>
      </c>
      <c r="W19" s="1" t="str">
        <f t="shared" si="3"/>
        <v>OK</v>
      </c>
    </row>
    <row r="20" spans="1:23">
      <c r="A20" s="1">
        <v>56638</v>
      </c>
      <c r="B20" s="10">
        <v>45664</v>
      </c>
      <c r="C20" s="1">
        <v>6</v>
      </c>
      <c r="D20" s="1" t="s">
        <v>78</v>
      </c>
      <c r="E20" s="1" t="s">
        <v>87</v>
      </c>
      <c r="F20" s="1" t="s">
        <v>73</v>
      </c>
      <c r="G20" s="1" t="s">
        <v>60</v>
      </c>
      <c r="H20" s="1" t="s">
        <v>90</v>
      </c>
      <c r="I20" s="1" t="s">
        <v>94</v>
      </c>
      <c r="J20" s="24">
        <v>2.4500000000000002</v>
      </c>
      <c r="K20" s="24">
        <v>3.89</v>
      </c>
      <c r="L20" s="28">
        <v>1.44</v>
      </c>
      <c r="M20" s="1">
        <v>41</v>
      </c>
      <c r="N20" s="28">
        <v>159.49</v>
      </c>
      <c r="O20" s="29">
        <v>0</v>
      </c>
      <c r="P20" s="28">
        <v>0</v>
      </c>
      <c r="Q20" s="28">
        <v>159.49</v>
      </c>
      <c r="R20" s="1" t="str">
        <f t="shared" si="0"/>
        <v>Jan</v>
      </c>
      <c r="S20" s="28">
        <f t="shared" si="4"/>
        <v>100.45</v>
      </c>
      <c r="T20" s="28">
        <f t="shared" si="5"/>
        <v>59.040000000000006</v>
      </c>
      <c r="U20" s="11">
        <f t="shared" si="1"/>
        <v>0.37017994858611825</v>
      </c>
      <c r="V20" s="1" t="str">
        <f t="shared" si="2"/>
        <v>Standard</v>
      </c>
      <c r="W20" s="1" t="str">
        <f t="shared" si="3"/>
        <v>OK</v>
      </c>
    </row>
    <row r="21" spans="1:23">
      <c r="A21" s="1">
        <v>56639</v>
      </c>
      <c r="B21" s="10">
        <v>45665</v>
      </c>
      <c r="C21" s="1">
        <v>3</v>
      </c>
      <c r="D21" s="1" t="s">
        <v>78</v>
      </c>
      <c r="E21" s="1" t="s">
        <v>72</v>
      </c>
      <c r="F21" s="1" t="s">
        <v>75</v>
      </c>
      <c r="G21" s="1" t="s">
        <v>60</v>
      </c>
      <c r="H21" s="1" t="s">
        <v>65</v>
      </c>
      <c r="I21" s="1" t="s">
        <v>95</v>
      </c>
      <c r="J21" s="24">
        <v>1.31</v>
      </c>
      <c r="K21" s="24">
        <v>2.84</v>
      </c>
      <c r="L21" s="28">
        <v>1.53</v>
      </c>
      <c r="M21" s="1">
        <v>11</v>
      </c>
      <c r="N21" s="28">
        <v>31.24</v>
      </c>
      <c r="O21" s="29">
        <v>0.1</v>
      </c>
      <c r="P21" s="28">
        <v>3.1240000000000001</v>
      </c>
      <c r="Q21" s="28">
        <v>28.116</v>
      </c>
      <c r="R21" s="1" t="str">
        <f t="shared" si="0"/>
        <v>Jan</v>
      </c>
      <c r="S21" s="28">
        <f t="shared" si="4"/>
        <v>14.41</v>
      </c>
      <c r="T21" s="28">
        <f t="shared" si="5"/>
        <v>13.706</v>
      </c>
      <c r="U21" s="11">
        <f t="shared" si="1"/>
        <v>0.48748043818466352</v>
      </c>
      <c r="V21" s="1" t="str">
        <f t="shared" si="2"/>
        <v>Fast</v>
      </c>
      <c r="W21" s="1" t="str">
        <f t="shared" si="3"/>
        <v>OK</v>
      </c>
    </row>
    <row r="22" spans="1:23">
      <c r="A22" s="1">
        <v>56640</v>
      </c>
      <c r="B22" s="10">
        <v>45665</v>
      </c>
      <c r="C22" s="1">
        <v>20</v>
      </c>
      <c r="D22" s="1" t="s">
        <v>57</v>
      </c>
      <c r="E22" s="1" t="s">
        <v>58</v>
      </c>
      <c r="F22" s="1" t="s">
        <v>96</v>
      </c>
      <c r="G22" s="1" t="s">
        <v>60</v>
      </c>
      <c r="H22" s="1" t="s">
        <v>70</v>
      </c>
      <c r="I22" s="1" t="s">
        <v>97</v>
      </c>
      <c r="J22" s="24">
        <v>1.6</v>
      </c>
      <c r="K22" s="24">
        <v>2.62</v>
      </c>
      <c r="L22" s="28">
        <v>1.02</v>
      </c>
      <c r="M22" s="1">
        <v>28</v>
      </c>
      <c r="N22" s="28">
        <v>73.36</v>
      </c>
      <c r="O22" s="29">
        <v>0.09</v>
      </c>
      <c r="P22" s="28">
        <v>6.6023999999999994</v>
      </c>
      <c r="Q22" s="28">
        <v>66.757599999999996</v>
      </c>
      <c r="R22" s="1" t="str">
        <f t="shared" si="0"/>
        <v>Jan</v>
      </c>
      <c r="S22" s="28">
        <f t="shared" si="4"/>
        <v>44.800000000000004</v>
      </c>
      <c r="T22" s="28">
        <f t="shared" si="5"/>
        <v>21.957599999999992</v>
      </c>
      <c r="U22" s="11">
        <f t="shared" si="1"/>
        <v>0.32891535944971051</v>
      </c>
      <c r="V22" s="1" t="str">
        <f t="shared" si="2"/>
        <v>Very Slow</v>
      </c>
      <c r="W22" s="1" t="str">
        <f t="shared" si="3"/>
        <v>OK</v>
      </c>
    </row>
    <row r="23" spans="1:23">
      <c r="A23" s="1">
        <v>56641</v>
      </c>
      <c r="B23" s="10">
        <v>45665</v>
      </c>
      <c r="C23" s="1">
        <v>3</v>
      </c>
      <c r="D23" s="1" t="s">
        <v>57</v>
      </c>
      <c r="E23" s="1" t="s">
        <v>58</v>
      </c>
      <c r="F23" s="1" t="s">
        <v>98</v>
      </c>
      <c r="G23" s="1" t="s">
        <v>60</v>
      </c>
      <c r="H23" s="1" t="s">
        <v>90</v>
      </c>
      <c r="I23" s="1" t="s">
        <v>99</v>
      </c>
      <c r="J23" s="24">
        <v>21.56</v>
      </c>
      <c r="K23" s="24">
        <v>35.94</v>
      </c>
      <c r="L23" s="28">
        <v>14.38</v>
      </c>
      <c r="M23" s="1">
        <v>22</v>
      </c>
      <c r="N23" s="28">
        <v>790.68</v>
      </c>
      <c r="O23" s="29">
        <v>0.09</v>
      </c>
      <c r="P23" s="28">
        <v>71.161199999999994</v>
      </c>
      <c r="Q23" s="28">
        <v>719.51879999999994</v>
      </c>
      <c r="R23" s="1" t="str">
        <f t="shared" si="0"/>
        <v>Jan</v>
      </c>
      <c r="S23" s="28">
        <f t="shared" si="4"/>
        <v>474.32</v>
      </c>
      <c r="T23" s="28">
        <f t="shared" si="5"/>
        <v>245.19879999999995</v>
      </c>
      <c r="U23" s="11">
        <f t="shared" si="1"/>
        <v>0.34078164462137744</v>
      </c>
      <c r="V23" s="1" t="str">
        <f t="shared" si="2"/>
        <v>Fast</v>
      </c>
      <c r="W23" s="1" t="str">
        <f t="shared" si="3"/>
        <v>OK</v>
      </c>
    </row>
    <row r="24" spans="1:23">
      <c r="A24" s="1">
        <v>56642</v>
      </c>
      <c r="B24" s="10">
        <v>45666</v>
      </c>
      <c r="C24" s="1">
        <v>23</v>
      </c>
      <c r="D24" s="1" t="s">
        <v>78</v>
      </c>
      <c r="E24" s="1" t="s">
        <v>87</v>
      </c>
      <c r="F24" s="1" t="s">
        <v>100</v>
      </c>
      <c r="G24" s="1" t="s">
        <v>60</v>
      </c>
      <c r="H24" s="1" t="s">
        <v>90</v>
      </c>
      <c r="I24" s="1" t="s">
        <v>101</v>
      </c>
      <c r="J24" s="24">
        <v>1.94</v>
      </c>
      <c r="K24" s="24">
        <v>3.08</v>
      </c>
      <c r="L24" s="28">
        <v>1.1399999999999999</v>
      </c>
      <c r="M24" s="1">
        <v>13</v>
      </c>
      <c r="N24" s="28">
        <v>40.04</v>
      </c>
      <c r="O24" s="29">
        <v>0.09</v>
      </c>
      <c r="P24" s="28">
        <v>3.6036000000000001</v>
      </c>
      <c r="Q24" s="28">
        <v>36.436399999999999</v>
      </c>
      <c r="R24" s="1" t="str">
        <f t="shared" si="0"/>
        <v>Jan</v>
      </c>
      <c r="S24" s="28">
        <f t="shared" si="4"/>
        <v>25.22</v>
      </c>
      <c r="T24" s="28">
        <f t="shared" si="5"/>
        <v>11.2164</v>
      </c>
      <c r="U24" s="11">
        <f t="shared" si="1"/>
        <v>0.30783502212073643</v>
      </c>
      <c r="V24" s="1" t="str">
        <f t="shared" si="2"/>
        <v>Very Slow</v>
      </c>
      <c r="W24" s="1" t="str">
        <f t="shared" si="3"/>
        <v>OK</v>
      </c>
    </row>
    <row r="25" spans="1:23">
      <c r="A25" s="1">
        <v>56643</v>
      </c>
      <c r="B25" s="10">
        <v>45666</v>
      </c>
      <c r="C25" s="1">
        <v>2</v>
      </c>
      <c r="D25" s="1" t="s">
        <v>57</v>
      </c>
      <c r="E25" s="1" t="s">
        <v>58</v>
      </c>
      <c r="F25" s="1" t="s">
        <v>100</v>
      </c>
      <c r="G25" s="1" t="s">
        <v>60</v>
      </c>
      <c r="H25" s="1" t="s">
        <v>68</v>
      </c>
      <c r="I25" s="1" t="s">
        <v>102</v>
      </c>
      <c r="J25" s="24">
        <v>67.73</v>
      </c>
      <c r="K25" s="24">
        <v>165.2</v>
      </c>
      <c r="L25" s="28">
        <v>97.469999999999985</v>
      </c>
      <c r="M25" s="1">
        <v>50</v>
      </c>
      <c r="N25" s="28">
        <v>8260</v>
      </c>
      <c r="O25" s="29">
        <v>0.02</v>
      </c>
      <c r="P25" s="28">
        <v>165.2</v>
      </c>
      <c r="Q25" s="28">
        <v>8094.8</v>
      </c>
      <c r="R25" s="1" t="str">
        <f t="shared" si="0"/>
        <v>Jan</v>
      </c>
      <c r="S25" s="28">
        <f t="shared" si="4"/>
        <v>3386.5</v>
      </c>
      <c r="T25" s="28">
        <f t="shared" si="5"/>
        <v>4708.3</v>
      </c>
      <c r="U25" s="11">
        <f t="shared" si="1"/>
        <v>0.58164500667094932</v>
      </c>
      <c r="V25" s="1" t="str">
        <f t="shared" si="2"/>
        <v>Fast</v>
      </c>
      <c r="W25" s="1" t="str">
        <f t="shared" si="3"/>
        <v>OK</v>
      </c>
    </row>
    <row r="26" spans="1:23">
      <c r="A26" s="1">
        <v>56644</v>
      </c>
      <c r="B26" s="10">
        <v>45666</v>
      </c>
      <c r="C26" s="1">
        <v>2</v>
      </c>
      <c r="D26" s="1" t="s">
        <v>63</v>
      </c>
      <c r="E26" s="1" t="s">
        <v>87</v>
      </c>
      <c r="F26" s="1" t="s">
        <v>18</v>
      </c>
      <c r="G26" s="1" t="s">
        <v>60</v>
      </c>
      <c r="H26" s="1" t="s">
        <v>68</v>
      </c>
      <c r="I26" s="1" t="s">
        <v>103</v>
      </c>
      <c r="J26" s="24">
        <v>4.59</v>
      </c>
      <c r="K26" s="24">
        <v>7.28</v>
      </c>
      <c r="L26" s="28">
        <v>2.69</v>
      </c>
      <c r="M26" s="1">
        <v>4</v>
      </c>
      <c r="N26" s="28">
        <v>29.12</v>
      </c>
      <c r="O26" s="29">
        <v>0.01</v>
      </c>
      <c r="P26" s="28">
        <v>0.29120000000000001</v>
      </c>
      <c r="Q26" s="28">
        <v>28.828800000000001</v>
      </c>
      <c r="R26" s="1" t="str">
        <f t="shared" si="0"/>
        <v>Jan</v>
      </c>
      <c r="S26" s="28">
        <f t="shared" si="4"/>
        <v>18.36</v>
      </c>
      <c r="T26" s="28">
        <f t="shared" si="5"/>
        <v>10.468800000000002</v>
      </c>
      <c r="U26" s="11">
        <f t="shared" si="1"/>
        <v>0.36313686313686316</v>
      </c>
      <c r="V26" s="1" t="str">
        <f t="shared" si="2"/>
        <v>Fast</v>
      </c>
      <c r="W26" s="1" t="str">
        <f t="shared" si="3"/>
        <v>OK</v>
      </c>
    </row>
    <row r="27" spans="1:23">
      <c r="A27" s="1">
        <v>56645</v>
      </c>
      <c r="B27" s="10">
        <v>45667</v>
      </c>
      <c r="C27" s="1">
        <v>6</v>
      </c>
      <c r="D27" s="1" t="s">
        <v>63</v>
      </c>
      <c r="E27" s="1" t="s">
        <v>72</v>
      </c>
      <c r="F27" s="1" t="s">
        <v>84</v>
      </c>
      <c r="G27" s="1" t="s">
        <v>81</v>
      </c>
      <c r="H27" s="1" t="s">
        <v>70</v>
      </c>
      <c r="I27" s="1" t="s">
        <v>104</v>
      </c>
      <c r="J27" s="24">
        <v>76.790000000000006</v>
      </c>
      <c r="K27" s="24">
        <v>119.99</v>
      </c>
      <c r="L27" s="28">
        <v>43.199999999999989</v>
      </c>
      <c r="M27" s="1">
        <v>5</v>
      </c>
      <c r="N27" s="28">
        <v>599.94999999999993</v>
      </c>
      <c r="O27" s="29">
        <v>0.06</v>
      </c>
      <c r="P27" s="28">
        <v>35.996999999999993</v>
      </c>
      <c r="Q27" s="28">
        <v>563.95299999999997</v>
      </c>
      <c r="R27" s="1" t="str">
        <f t="shared" si="0"/>
        <v>Jan</v>
      </c>
      <c r="S27" s="28">
        <f t="shared" si="4"/>
        <v>383.95000000000005</v>
      </c>
      <c r="T27" s="28">
        <f t="shared" si="5"/>
        <v>180.00299999999993</v>
      </c>
      <c r="U27" s="11">
        <f t="shared" si="1"/>
        <v>0.31918085372362581</v>
      </c>
      <c r="V27" s="1" t="str">
        <f t="shared" si="2"/>
        <v>Standard</v>
      </c>
      <c r="W27" s="1" t="str">
        <f t="shared" si="3"/>
        <v>OK</v>
      </c>
    </row>
    <row r="28" spans="1:23">
      <c r="A28" s="1">
        <v>56646</v>
      </c>
      <c r="B28" s="10">
        <v>45667</v>
      </c>
      <c r="C28" s="1">
        <v>3</v>
      </c>
      <c r="D28" s="1" t="s">
        <v>57</v>
      </c>
      <c r="E28" s="1" t="s">
        <v>87</v>
      </c>
      <c r="F28" s="1" t="s">
        <v>59</v>
      </c>
      <c r="G28" s="1" t="s">
        <v>60</v>
      </c>
      <c r="H28" s="1" t="s">
        <v>61</v>
      </c>
      <c r="I28" s="1" t="s">
        <v>105</v>
      </c>
      <c r="J28" s="24">
        <v>3.47</v>
      </c>
      <c r="K28" s="24">
        <v>6.68</v>
      </c>
      <c r="L28" s="28">
        <v>3.21</v>
      </c>
      <c r="M28" s="1">
        <v>14</v>
      </c>
      <c r="N28" s="28">
        <v>93.52</v>
      </c>
      <c r="O28" s="29">
        <v>0.03</v>
      </c>
      <c r="P28" s="28">
        <v>2.8056000000000001</v>
      </c>
      <c r="Q28" s="28">
        <v>90.714399999999998</v>
      </c>
      <c r="R28" s="1" t="str">
        <f t="shared" si="0"/>
        <v>Jan</v>
      </c>
      <c r="S28" s="28">
        <f t="shared" si="4"/>
        <v>48.580000000000005</v>
      </c>
      <c r="T28" s="28">
        <f t="shared" si="5"/>
        <v>42.134399999999992</v>
      </c>
      <c r="U28" s="11">
        <f t="shared" si="1"/>
        <v>0.46447311562442117</v>
      </c>
      <c r="V28" s="1" t="str">
        <f t="shared" si="2"/>
        <v>Fast</v>
      </c>
      <c r="W28" s="1" t="str">
        <f t="shared" si="3"/>
        <v>OK</v>
      </c>
    </row>
    <row r="29" spans="1:23">
      <c r="A29" s="1">
        <v>56647</v>
      </c>
      <c r="B29" s="10">
        <v>45668</v>
      </c>
      <c r="C29" s="1">
        <v>10</v>
      </c>
      <c r="D29" s="1" t="s">
        <v>57</v>
      </c>
      <c r="E29" s="1" t="s">
        <v>72</v>
      </c>
      <c r="F29" s="1" t="s">
        <v>73</v>
      </c>
      <c r="G29" s="1" t="s">
        <v>60</v>
      </c>
      <c r="H29" s="1" t="s">
        <v>68</v>
      </c>
      <c r="I29" s="1" t="s">
        <v>106</v>
      </c>
      <c r="J29" s="24">
        <v>1.53</v>
      </c>
      <c r="K29" s="24">
        <v>2.78</v>
      </c>
      <c r="L29" s="28">
        <v>1.25</v>
      </c>
      <c r="M29" s="1">
        <v>22</v>
      </c>
      <c r="N29" s="28">
        <v>61.16</v>
      </c>
      <c r="O29" s="29">
        <v>0.06</v>
      </c>
      <c r="P29" s="28">
        <v>3.6696</v>
      </c>
      <c r="Q29" s="28">
        <v>57.490399999999987</v>
      </c>
      <c r="R29" s="1" t="str">
        <f t="shared" si="0"/>
        <v>Jan</v>
      </c>
      <c r="S29" s="28">
        <f t="shared" si="4"/>
        <v>33.660000000000004</v>
      </c>
      <c r="T29" s="28">
        <f t="shared" si="5"/>
        <v>23.830399999999983</v>
      </c>
      <c r="U29" s="11">
        <f t="shared" si="1"/>
        <v>0.41451094443594039</v>
      </c>
      <c r="V29" s="1" t="str">
        <f t="shared" si="2"/>
        <v>Slow</v>
      </c>
      <c r="W29" s="1" t="str">
        <f t="shared" si="3"/>
        <v>OK</v>
      </c>
    </row>
    <row r="30" spans="1:23">
      <c r="A30" s="1">
        <v>56648</v>
      </c>
      <c r="B30" s="10">
        <v>45668</v>
      </c>
      <c r="C30" s="1">
        <v>7</v>
      </c>
      <c r="D30" s="1" t="s">
        <v>78</v>
      </c>
      <c r="E30" s="1" t="s">
        <v>58</v>
      </c>
      <c r="F30" s="1" t="s">
        <v>73</v>
      </c>
      <c r="G30" s="1" t="s">
        <v>81</v>
      </c>
      <c r="H30" s="1" t="s">
        <v>68</v>
      </c>
      <c r="I30" s="1" t="s">
        <v>92</v>
      </c>
      <c r="J30" s="24">
        <v>32.020000000000003</v>
      </c>
      <c r="K30" s="24">
        <v>152.47999999999999</v>
      </c>
      <c r="L30" s="28">
        <v>120.46</v>
      </c>
      <c r="M30" s="1">
        <v>29</v>
      </c>
      <c r="N30" s="28">
        <v>4421.92</v>
      </c>
      <c r="O30" s="29">
        <v>0.09</v>
      </c>
      <c r="P30" s="28">
        <v>397.97280000000001</v>
      </c>
      <c r="Q30" s="28">
        <v>4023.9472000000001</v>
      </c>
      <c r="R30" s="1" t="str">
        <f t="shared" si="0"/>
        <v>Jan</v>
      </c>
      <c r="S30" s="28">
        <f t="shared" si="4"/>
        <v>928.58</v>
      </c>
      <c r="T30" s="28">
        <f t="shared" si="5"/>
        <v>3095.3672000000001</v>
      </c>
      <c r="U30" s="11">
        <f t="shared" si="1"/>
        <v>0.76923653471397435</v>
      </c>
      <c r="V30" s="1" t="str">
        <f t="shared" si="2"/>
        <v>Standard</v>
      </c>
      <c r="W30" s="1" t="str">
        <f t="shared" si="3"/>
        <v>OK</v>
      </c>
    </row>
    <row r="31" spans="1:23">
      <c r="A31" s="1">
        <v>56649</v>
      </c>
      <c r="B31" s="10">
        <v>45669</v>
      </c>
      <c r="C31" s="1">
        <v>4</v>
      </c>
      <c r="D31" s="1" t="s">
        <v>57</v>
      </c>
      <c r="E31" s="1" t="s">
        <v>72</v>
      </c>
      <c r="F31" s="1" t="s">
        <v>84</v>
      </c>
      <c r="G31" s="1" t="s">
        <v>60</v>
      </c>
      <c r="H31" s="1" t="s">
        <v>90</v>
      </c>
      <c r="I31" s="1" t="s">
        <v>107</v>
      </c>
      <c r="J31" s="24">
        <v>13.88</v>
      </c>
      <c r="K31" s="24">
        <v>22.38</v>
      </c>
      <c r="L31" s="28">
        <v>8.4999999999999982</v>
      </c>
      <c r="M31" s="1">
        <v>12</v>
      </c>
      <c r="N31" s="28">
        <v>268.56</v>
      </c>
      <c r="O31" s="29">
        <v>0.01</v>
      </c>
      <c r="P31" s="28">
        <v>2.6856</v>
      </c>
      <c r="Q31" s="28">
        <v>265.87439999999998</v>
      </c>
      <c r="R31" s="1" t="str">
        <f t="shared" si="0"/>
        <v>Jan</v>
      </c>
      <c r="S31" s="28">
        <f t="shared" si="4"/>
        <v>166.56</v>
      </c>
      <c r="T31" s="28">
        <f t="shared" si="5"/>
        <v>99.314399999999978</v>
      </c>
      <c r="U31" s="11">
        <f t="shared" si="1"/>
        <v>0.37353878372645122</v>
      </c>
      <c r="V31" s="1" t="str">
        <f t="shared" si="2"/>
        <v>Standard</v>
      </c>
      <c r="W31" s="1" t="str">
        <f t="shared" si="3"/>
        <v>OK</v>
      </c>
    </row>
    <row r="32" spans="1:23">
      <c r="A32" s="1">
        <v>56650</v>
      </c>
      <c r="B32" s="10">
        <v>45669</v>
      </c>
      <c r="C32" s="1">
        <v>8</v>
      </c>
      <c r="D32" s="1" t="s">
        <v>63</v>
      </c>
      <c r="E32" s="1" t="s">
        <v>72</v>
      </c>
      <c r="F32" s="1" t="s">
        <v>79</v>
      </c>
      <c r="G32" s="1" t="s">
        <v>60</v>
      </c>
      <c r="H32" s="1" t="s">
        <v>65</v>
      </c>
      <c r="I32" s="1" t="s">
        <v>95</v>
      </c>
      <c r="J32" s="24">
        <v>1.31</v>
      </c>
      <c r="K32" s="24">
        <v>2.84</v>
      </c>
      <c r="L32" s="28">
        <v>1.53</v>
      </c>
      <c r="M32" s="1">
        <v>42</v>
      </c>
      <c r="N32" s="28">
        <v>119.28</v>
      </c>
      <c r="O32" s="29">
        <v>0.05</v>
      </c>
      <c r="P32" s="28">
        <v>5.9640000000000004</v>
      </c>
      <c r="Q32" s="28">
        <v>113.316</v>
      </c>
      <c r="R32" s="1" t="str">
        <f t="shared" si="0"/>
        <v>Jan</v>
      </c>
      <c r="S32" s="28">
        <f t="shared" si="4"/>
        <v>55.02</v>
      </c>
      <c r="T32" s="28">
        <f t="shared" si="5"/>
        <v>58.295999999999999</v>
      </c>
      <c r="U32" s="11">
        <f t="shared" si="1"/>
        <v>0.51445515196441804</v>
      </c>
      <c r="V32" s="1" t="str">
        <f t="shared" si="2"/>
        <v>Slow</v>
      </c>
      <c r="W32" s="1" t="str">
        <f t="shared" si="3"/>
        <v>OK</v>
      </c>
    </row>
    <row r="33" spans="1:23">
      <c r="A33" s="1">
        <v>56651</v>
      </c>
      <c r="B33" s="10">
        <v>45670</v>
      </c>
      <c r="C33" s="1">
        <v>15</v>
      </c>
      <c r="D33" s="1" t="s">
        <v>57</v>
      </c>
      <c r="E33" s="1" t="s">
        <v>72</v>
      </c>
      <c r="F33" s="1" t="s">
        <v>64</v>
      </c>
      <c r="G33" s="1" t="s">
        <v>81</v>
      </c>
      <c r="H33" s="1" t="s">
        <v>70</v>
      </c>
      <c r="I33" s="1" t="s">
        <v>92</v>
      </c>
      <c r="J33" s="24">
        <v>39.64</v>
      </c>
      <c r="K33" s="24">
        <v>152.47999999999999</v>
      </c>
      <c r="L33" s="28">
        <v>112.84</v>
      </c>
      <c r="M33" s="1">
        <v>20</v>
      </c>
      <c r="N33" s="28">
        <v>3049.6</v>
      </c>
      <c r="O33" s="29">
        <v>0.04</v>
      </c>
      <c r="P33" s="28">
        <v>121.98399999999999</v>
      </c>
      <c r="Q33" s="28">
        <v>2927.616</v>
      </c>
      <c r="R33" s="1" t="str">
        <f t="shared" si="0"/>
        <v>Jan</v>
      </c>
      <c r="S33" s="28">
        <f t="shared" si="4"/>
        <v>792.8</v>
      </c>
      <c r="T33" s="28">
        <f t="shared" si="5"/>
        <v>2134.8159999999998</v>
      </c>
      <c r="U33" s="11">
        <f t="shared" si="1"/>
        <v>0.72919945785239593</v>
      </c>
      <c r="V33" s="1" t="str">
        <f t="shared" si="2"/>
        <v>Very Slow</v>
      </c>
      <c r="W33" s="1" t="str">
        <f t="shared" si="3"/>
        <v>OK</v>
      </c>
    </row>
    <row r="34" spans="1:23">
      <c r="A34" s="1">
        <v>56652</v>
      </c>
      <c r="B34" s="10">
        <v>45670</v>
      </c>
      <c r="C34" s="1">
        <v>11</v>
      </c>
      <c r="D34" s="1" t="s">
        <v>57</v>
      </c>
      <c r="E34" s="1" t="s">
        <v>58</v>
      </c>
      <c r="F34" s="1" t="s">
        <v>108</v>
      </c>
      <c r="G34" s="1" t="s">
        <v>60</v>
      </c>
      <c r="H34" s="1" t="s">
        <v>65</v>
      </c>
      <c r="I34" s="1" t="s">
        <v>109</v>
      </c>
      <c r="J34" s="24">
        <v>8.92</v>
      </c>
      <c r="K34" s="24">
        <v>29.74</v>
      </c>
      <c r="L34" s="28">
        <v>20.82</v>
      </c>
      <c r="M34" s="1">
        <v>29</v>
      </c>
      <c r="N34" s="28">
        <v>862.45999999999992</v>
      </c>
      <c r="O34" s="29">
        <v>0.09</v>
      </c>
      <c r="P34" s="28">
        <v>77.621399999999994</v>
      </c>
      <c r="Q34" s="28">
        <v>784.83859999999993</v>
      </c>
      <c r="R34" s="1" t="str">
        <f t="shared" si="0"/>
        <v>Jan</v>
      </c>
      <c r="S34" s="28">
        <f t="shared" si="4"/>
        <v>258.68</v>
      </c>
      <c r="T34" s="28">
        <f t="shared" si="5"/>
        <v>526.15859999999998</v>
      </c>
      <c r="U34" s="11">
        <f t="shared" si="1"/>
        <v>0.67040357087431734</v>
      </c>
      <c r="V34" s="1" t="str">
        <f t="shared" si="2"/>
        <v>Slow</v>
      </c>
      <c r="W34" s="1" t="str">
        <f t="shared" si="3"/>
        <v>OK</v>
      </c>
    </row>
    <row r="35" spans="1:23">
      <c r="A35" s="1">
        <v>56653</v>
      </c>
      <c r="B35" s="10">
        <v>45670</v>
      </c>
      <c r="C35" s="1">
        <v>17</v>
      </c>
      <c r="D35" s="1" t="s">
        <v>63</v>
      </c>
      <c r="E35" s="1" t="s">
        <v>87</v>
      </c>
      <c r="F35" s="1" t="s">
        <v>59</v>
      </c>
      <c r="G35" s="1" t="s">
        <v>81</v>
      </c>
      <c r="H35" s="1" t="s">
        <v>70</v>
      </c>
      <c r="I35" s="1" t="s">
        <v>110</v>
      </c>
      <c r="J35" s="24">
        <v>278.99</v>
      </c>
      <c r="K35" s="24">
        <v>449.99</v>
      </c>
      <c r="L35" s="28">
        <v>171</v>
      </c>
      <c r="M35" s="1">
        <v>30</v>
      </c>
      <c r="N35" s="28">
        <v>13499.7</v>
      </c>
      <c r="O35" s="29">
        <v>0.02</v>
      </c>
      <c r="P35" s="28">
        <v>269.99400000000003</v>
      </c>
      <c r="Q35" s="28">
        <v>13229.706</v>
      </c>
      <c r="R35" s="1" t="str">
        <f t="shared" si="0"/>
        <v>Jan</v>
      </c>
      <c r="S35" s="28">
        <f t="shared" si="4"/>
        <v>8369.7000000000007</v>
      </c>
      <c r="T35" s="28">
        <f t="shared" si="5"/>
        <v>4860.0059999999994</v>
      </c>
      <c r="U35" s="11">
        <f t="shared" si="1"/>
        <v>0.36735555574704376</v>
      </c>
      <c r="V35" s="1" t="str">
        <f t="shared" si="2"/>
        <v>Very Slow</v>
      </c>
      <c r="W35" s="1" t="str">
        <f t="shared" si="3"/>
        <v>OK</v>
      </c>
    </row>
    <row r="36" spans="1:23">
      <c r="A36" s="1">
        <v>56654</v>
      </c>
      <c r="B36" s="10">
        <v>45670</v>
      </c>
      <c r="C36" s="1">
        <v>5</v>
      </c>
      <c r="D36" s="1" t="s">
        <v>57</v>
      </c>
      <c r="E36" s="1" t="s">
        <v>67</v>
      </c>
      <c r="F36" s="1" t="s">
        <v>75</v>
      </c>
      <c r="G36" s="1" t="s">
        <v>85</v>
      </c>
      <c r="H36" s="1" t="s">
        <v>61</v>
      </c>
      <c r="I36" s="1" t="s">
        <v>111</v>
      </c>
      <c r="J36" s="24">
        <v>11.38</v>
      </c>
      <c r="K36" s="24">
        <v>18.649999999999999</v>
      </c>
      <c r="L36" s="28">
        <v>7.2699999999999978</v>
      </c>
      <c r="M36" s="1">
        <v>19</v>
      </c>
      <c r="N36" s="28">
        <v>354.35</v>
      </c>
      <c r="O36" s="29">
        <v>7.0000000000000007E-2</v>
      </c>
      <c r="P36" s="28">
        <v>24.804500000000001</v>
      </c>
      <c r="Q36" s="28">
        <v>329.54549999999989</v>
      </c>
      <c r="R36" s="1" t="str">
        <f t="shared" si="0"/>
        <v>Jan</v>
      </c>
      <c r="S36" s="28">
        <f t="shared" si="4"/>
        <v>216.22000000000003</v>
      </c>
      <c r="T36" s="28">
        <f t="shared" si="5"/>
        <v>113.32549999999986</v>
      </c>
      <c r="U36" s="11">
        <f t="shared" si="1"/>
        <v>0.3438842284297613</v>
      </c>
      <c r="V36" s="1" t="str">
        <f t="shared" si="2"/>
        <v>Standard</v>
      </c>
      <c r="W36" s="1" t="str">
        <f t="shared" si="3"/>
        <v>OK</v>
      </c>
    </row>
    <row r="37" spans="1:23">
      <c r="A37" s="1">
        <v>56655</v>
      </c>
      <c r="B37" s="10">
        <v>45670</v>
      </c>
      <c r="C37" s="1">
        <v>4</v>
      </c>
      <c r="D37" s="1" t="s">
        <v>57</v>
      </c>
      <c r="E37" s="1" t="s">
        <v>72</v>
      </c>
      <c r="F37" s="1" t="s">
        <v>75</v>
      </c>
      <c r="G37" s="1" t="s">
        <v>60</v>
      </c>
      <c r="H37" s="1" t="s">
        <v>68</v>
      </c>
      <c r="I37" s="1" t="s">
        <v>112</v>
      </c>
      <c r="J37" s="24">
        <v>3.5</v>
      </c>
      <c r="K37" s="24">
        <v>5.74</v>
      </c>
      <c r="L37" s="28">
        <v>2.2400000000000002</v>
      </c>
      <c r="M37" s="1">
        <v>26</v>
      </c>
      <c r="N37" s="28">
        <v>149.24</v>
      </c>
      <c r="O37" s="29">
        <v>0.08</v>
      </c>
      <c r="P37" s="28">
        <v>11.9392</v>
      </c>
      <c r="Q37" s="28">
        <v>137.30080000000001</v>
      </c>
      <c r="R37" s="1" t="str">
        <f t="shared" si="0"/>
        <v>Jan</v>
      </c>
      <c r="S37" s="28">
        <f t="shared" si="4"/>
        <v>91</v>
      </c>
      <c r="T37" s="28">
        <f t="shared" si="5"/>
        <v>46.30080000000001</v>
      </c>
      <c r="U37" s="11">
        <f t="shared" si="1"/>
        <v>0.33722163308589614</v>
      </c>
      <c r="V37" s="1" t="str">
        <f t="shared" si="2"/>
        <v>Standard</v>
      </c>
      <c r="W37" s="1" t="str">
        <f t="shared" si="3"/>
        <v>OK</v>
      </c>
    </row>
    <row r="38" spans="1:23">
      <c r="A38" s="1">
        <v>56656</v>
      </c>
      <c r="B38" s="10">
        <v>45673</v>
      </c>
      <c r="C38" s="1">
        <v>4</v>
      </c>
      <c r="D38" s="1" t="s">
        <v>57</v>
      </c>
      <c r="E38" s="1" t="s">
        <v>67</v>
      </c>
      <c r="F38" s="1" t="s">
        <v>73</v>
      </c>
      <c r="G38" s="1" t="s">
        <v>81</v>
      </c>
      <c r="H38" s="1" t="s">
        <v>90</v>
      </c>
      <c r="I38" s="1" t="s">
        <v>113</v>
      </c>
      <c r="J38" s="24">
        <v>8.31</v>
      </c>
      <c r="K38" s="24">
        <v>15.98</v>
      </c>
      <c r="L38" s="28">
        <v>7.67</v>
      </c>
      <c r="M38" s="1">
        <v>6</v>
      </c>
      <c r="N38" s="28">
        <v>95.88</v>
      </c>
      <c r="O38" s="29">
        <v>0.08</v>
      </c>
      <c r="P38" s="28">
        <v>7.6703999999999999</v>
      </c>
      <c r="Q38" s="28">
        <v>88.209599999999995</v>
      </c>
      <c r="R38" s="1" t="str">
        <f t="shared" si="0"/>
        <v>Jan</v>
      </c>
      <c r="S38" s="28">
        <f t="shared" si="4"/>
        <v>49.86</v>
      </c>
      <c r="T38" s="28">
        <f t="shared" si="5"/>
        <v>38.349599999999995</v>
      </c>
      <c r="U38" s="11">
        <f t="shared" si="1"/>
        <v>0.43475540077270497</v>
      </c>
      <c r="V38" s="1" t="str">
        <f t="shared" si="2"/>
        <v>Standard</v>
      </c>
      <c r="W38" s="1" t="str">
        <f t="shared" si="3"/>
        <v>OK</v>
      </c>
    </row>
    <row r="39" spans="1:23">
      <c r="A39" s="1">
        <v>56657</v>
      </c>
      <c r="B39" s="10">
        <v>45674</v>
      </c>
      <c r="C39" s="1">
        <v>21</v>
      </c>
      <c r="D39" s="1" t="s">
        <v>57</v>
      </c>
      <c r="E39" s="1" t="s">
        <v>87</v>
      </c>
      <c r="F39" s="1" t="s">
        <v>84</v>
      </c>
      <c r="G39" s="1" t="s">
        <v>60</v>
      </c>
      <c r="H39" s="1" t="s">
        <v>65</v>
      </c>
      <c r="I39" s="1" t="s">
        <v>74</v>
      </c>
      <c r="J39" s="24">
        <v>3.88</v>
      </c>
      <c r="K39" s="24">
        <v>6.47</v>
      </c>
      <c r="L39" s="28">
        <v>2.59</v>
      </c>
      <c r="M39" s="1">
        <v>18</v>
      </c>
      <c r="N39" s="28">
        <v>116.46</v>
      </c>
      <c r="O39" s="29">
        <v>0.01</v>
      </c>
      <c r="P39" s="28">
        <v>1.1646000000000001</v>
      </c>
      <c r="Q39" s="28">
        <v>115.2954</v>
      </c>
      <c r="R39" s="1" t="str">
        <f t="shared" si="0"/>
        <v>Jan</v>
      </c>
      <c r="S39" s="28">
        <f t="shared" si="4"/>
        <v>69.84</v>
      </c>
      <c r="T39" s="28">
        <f t="shared" si="5"/>
        <v>45.455399999999997</v>
      </c>
      <c r="U39" s="11">
        <f t="shared" si="1"/>
        <v>0.39425163536446378</v>
      </c>
      <c r="V39" s="1" t="str">
        <f t="shared" si="2"/>
        <v>Very Slow</v>
      </c>
      <c r="W39" s="1" t="str">
        <f t="shared" si="3"/>
        <v>OK</v>
      </c>
    </row>
    <row r="40" spans="1:23">
      <c r="A40" s="1">
        <v>56658</v>
      </c>
      <c r="B40" s="10">
        <v>45674</v>
      </c>
      <c r="C40" s="1">
        <v>2</v>
      </c>
      <c r="D40" s="1" t="s">
        <v>63</v>
      </c>
      <c r="E40" s="1" t="s">
        <v>67</v>
      </c>
      <c r="F40" s="1" t="s">
        <v>98</v>
      </c>
      <c r="G40" s="1" t="s">
        <v>60</v>
      </c>
      <c r="H40" s="1" t="s">
        <v>65</v>
      </c>
      <c r="I40" s="1" t="s">
        <v>114</v>
      </c>
      <c r="J40" s="24">
        <v>2.59</v>
      </c>
      <c r="K40" s="24">
        <v>3.98</v>
      </c>
      <c r="L40" s="28">
        <v>1.39</v>
      </c>
      <c r="M40" s="1">
        <v>12</v>
      </c>
      <c r="N40" s="28">
        <v>47.76</v>
      </c>
      <c r="O40" s="29">
        <v>7.0000000000000007E-2</v>
      </c>
      <c r="P40" s="28">
        <v>3.3431999999999999</v>
      </c>
      <c r="Q40" s="28">
        <v>44.416799999999988</v>
      </c>
      <c r="R40" s="1" t="str">
        <f t="shared" si="0"/>
        <v>Jan</v>
      </c>
      <c r="S40" s="28">
        <f t="shared" si="4"/>
        <v>31.08</v>
      </c>
      <c r="T40" s="28">
        <f t="shared" si="5"/>
        <v>13.33679999999999</v>
      </c>
      <c r="U40" s="11">
        <f t="shared" si="1"/>
        <v>0.30026476468363306</v>
      </c>
      <c r="V40" s="1" t="str">
        <f t="shared" si="2"/>
        <v>Fast</v>
      </c>
      <c r="W40" s="1" t="str">
        <f t="shared" si="3"/>
        <v>OK</v>
      </c>
    </row>
    <row r="41" spans="1:23">
      <c r="A41" s="1">
        <v>56659</v>
      </c>
      <c r="B41" s="10">
        <v>45674</v>
      </c>
      <c r="C41" s="1">
        <v>7</v>
      </c>
      <c r="D41" s="1" t="s">
        <v>78</v>
      </c>
      <c r="E41" s="1" t="s">
        <v>87</v>
      </c>
      <c r="F41" s="1" t="s">
        <v>64</v>
      </c>
      <c r="G41" s="1" t="s">
        <v>81</v>
      </c>
      <c r="H41" s="1" t="s">
        <v>65</v>
      </c>
      <c r="I41" s="1" t="s">
        <v>115</v>
      </c>
      <c r="J41" s="24">
        <v>81.59</v>
      </c>
      <c r="K41" s="24">
        <v>159.99</v>
      </c>
      <c r="L41" s="28">
        <v>78.400000000000006</v>
      </c>
      <c r="M41" s="1">
        <v>46</v>
      </c>
      <c r="N41" s="28">
        <v>7359.5400000000009</v>
      </c>
      <c r="O41" s="29">
        <v>0.05</v>
      </c>
      <c r="P41" s="28">
        <v>367.97700000000009</v>
      </c>
      <c r="Q41" s="28">
        <v>6991.563000000001</v>
      </c>
      <c r="R41" s="1" t="str">
        <f t="shared" si="0"/>
        <v>Jan</v>
      </c>
      <c r="S41" s="28">
        <f t="shared" si="4"/>
        <v>3753.1400000000003</v>
      </c>
      <c r="T41" s="28">
        <f t="shared" si="5"/>
        <v>3238.4230000000007</v>
      </c>
      <c r="U41" s="11">
        <f t="shared" si="1"/>
        <v>0.46319013359387595</v>
      </c>
      <c r="V41" s="1" t="str">
        <f t="shared" si="2"/>
        <v>Standard</v>
      </c>
      <c r="W41" s="1" t="str">
        <f t="shared" si="3"/>
        <v>OK</v>
      </c>
    </row>
    <row r="42" spans="1:23">
      <c r="A42" s="1">
        <v>56660</v>
      </c>
      <c r="B42" s="10">
        <v>45676</v>
      </c>
      <c r="C42" s="1">
        <v>6</v>
      </c>
      <c r="D42" s="1" t="s">
        <v>63</v>
      </c>
      <c r="E42" s="1" t="s">
        <v>58</v>
      </c>
      <c r="F42" s="1" t="s">
        <v>64</v>
      </c>
      <c r="G42" s="1" t="s">
        <v>60</v>
      </c>
      <c r="H42" s="1" t="s">
        <v>90</v>
      </c>
      <c r="I42" s="1" t="s">
        <v>116</v>
      </c>
      <c r="J42" s="24">
        <v>36.020000000000003</v>
      </c>
      <c r="K42" s="24">
        <v>58.1</v>
      </c>
      <c r="L42" s="28">
        <v>22.08</v>
      </c>
      <c r="M42" s="1">
        <v>32</v>
      </c>
      <c r="N42" s="28">
        <v>1859.2</v>
      </c>
      <c r="O42" s="29">
        <v>7.0000000000000007E-2</v>
      </c>
      <c r="P42" s="28">
        <v>130.14400000000001</v>
      </c>
      <c r="Q42" s="28">
        <v>1729.056</v>
      </c>
      <c r="R42" s="1" t="str">
        <f t="shared" si="0"/>
        <v>Jan</v>
      </c>
      <c r="S42" s="28">
        <f t="shared" si="4"/>
        <v>1152.6400000000001</v>
      </c>
      <c r="T42" s="28">
        <f t="shared" si="5"/>
        <v>576.41599999999994</v>
      </c>
      <c r="U42" s="11">
        <f t="shared" si="1"/>
        <v>0.33337034775044877</v>
      </c>
      <c r="V42" s="1" t="str">
        <f t="shared" si="2"/>
        <v>Standard</v>
      </c>
      <c r="W42" s="1" t="str">
        <f t="shared" si="3"/>
        <v>OK</v>
      </c>
    </row>
    <row r="43" spans="1:23">
      <c r="A43" s="1">
        <v>56661</v>
      </c>
      <c r="B43" s="10">
        <v>45676</v>
      </c>
      <c r="C43" s="1">
        <v>9</v>
      </c>
      <c r="D43" s="1" t="s">
        <v>57</v>
      </c>
      <c r="E43" s="1" t="s">
        <v>72</v>
      </c>
      <c r="F43" s="1" t="s">
        <v>98</v>
      </c>
      <c r="G43" s="1" t="s">
        <v>60</v>
      </c>
      <c r="H43" s="1" t="s">
        <v>61</v>
      </c>
      <c r="I43" s="1" t="s">
        <v>117</v>
      </c>
      <c r="J43" s="24">
        <v>4.37</v>
      </c>
      <c r="K43" s="24">
        <v>9.11</v>
      </c>
      <c r="L43" s="28">
        <v>4.7399999999999993</v>
      </c>
      <c r="M43" s="1">
        <v>27</v>
      </c>
      <c r="N43" s="28">
        <v>245.97</v>
      </c>
      <c r="O43" s="29">
        <v>0.03</v>
      </c>
      <c r="P43" s="28">
        <v>7.3790999999999984</v>
      </c>
      <c r="Q43" s="28">
        <v>238.5909</v>
      </c>
      <c r="R43" s="1" t="str">
        <f t="shared" si="0"/>
        <v>Jan</v>
      </c>
      <c r="S43" s="28">
        <f t="shared" si="4"/>
        <v>117.99000000000001</v>
      </c>
      <c r="T43" s="28">
        <f t="shared" si="5"/>
        <v>120.6009</v>
      </c>
      <c r="U43" s="11">
        <f t="shared" si="1"/>
        <v>0.50547149954168413</v>
      </c>
      <c r="V43" s="1" t="str">
        <f t="shared" si="2"/>
        <v>Slow</v>
      </c>
      <c r="W43" s="1" t="str">
        <f t="shared" si="3"/>
        <v>OK</v>
      </c>
    </row>
    <row r="44" spans="1:23">
      <c r="A44" s="1">
        <v>56662</v>
      </c>
      <c r="B44" s="10">
        <v>45676</v>
      </c>
      <c r="C44" s="1">
        <v>10</v>
      </c>
      <c r="D44" s="1" t="s">
        <v>57</v>
      </c>
      <c r="E44" s="1" t="s">
        <v>67</v>
      </c>
      <c r="F44" s="1" t="s">
        <v>84</v>
      </c>
      <c r="G44" s="1" t="s">
        <v>81</v>
      </c>
      <c r="H44" s="1" t="s">
        <v>90</v>
      </c>
      <c r="I44" s="1" t="s">
        <v>104</v>
      </c>
      <c r="J44" s="24">
        <v>76.790000000000006</v>
      </c>
      <c r="K44" s="24">
        <v>119.99</v>
      </c>
      <c r="L44" s="28">
        <v>43.199999999999989</v>
      </c>
      <c r="M44" s="1">
        <v>8</v>
      </c>
      <c r="N44" s="28">
        <v>959.92</v>
      </c>
      <c r="O44" s="29">
        <v>0.09</v>
      </c>
      <c r="P44" s="28">
        <v>86.392799999999994</v>
      </c>
      <c r="Q44" s="28">
        <v>873.52719999999999</v>
      </c>
      <c r="R44" s="1" t="str">
        <f t="shared" si="0"/>
        <v>Jan</v>
      </c>
      <c r="S44" s="28">
        <f t="shared" si="4"/>
        <v>614.32000000000005</v>
      </c>
      <c r="T44" s="28">
        <f t="shared" si="5"/>
        <v>259.20719999999994</v>
      </c>
      <c r="U44" s="11">
        <f t="shared" si="1"/>
        <v>0.2967362664837454</v>
      </c>
      <c r="V44" s="1" t="str">
        <f t="shared" si="2"/>
        <v>Slow</v>
      </c>
      <c r="W44" s="1" t="str">
        <f t="shared" si="3"/>
        <v>OK</v>
      </c>
    </row>
    <row r="45" spans="1:23">
      <c r="A45" s="1">
        <v>56663</v>
      </c>
      <c r="B45" s="10">
        <v>45677</v>
      </c>
      <c r="C45" s="1">
        <v>2</v>
      </c>
      <c r="D45" s="1" t="s">
        <v>63</v>
      </c>
      <c r="E45" s="1" t="s">
        <v>87</v>
      </c>
      <c r="F45" s="1" t="s">
        <v>100</v>
      </c>
      <c r="G45" s="1" t="s">
        <v>60</v>
      </c>
      <c r="H45" s="1" t="s">
        <v>90</v>
      </c>
      <c r="I45" s="1" t="s">
        <v>118</v>
      </c>
      <c r="J45" s="24">
        <v>3.32</v>
      </c>
      <c r="K45" s="24">
        <v>5.18</v>
      </c>
      <c r="L45" s="28">
        <v>1.86</v>
      </c>
      <c r="M45" s="1">
        <v>9</v>
      </c>
      <c r="N45" s="28">
        <v>46.62</v>
      </c>
      <c r="O45" s="29">
        <v>0.09</v>
      </c>
      <c r="P45" s="28">
        <v>4.1957999999999993</v>
      </c>
      <c r="Q45" s="28">
        <v>42.424199999999999</v>
      </c>
      <c r="R45" s="1" t="str">
        <f t="shared" si="0"/>
        <v>Jan</v>
      </c>
      <c r="S45" s="28">
        <f t="shared" si="4"/>
        <v>29.88</v>
      </c>
      <c r="T45" s="28">
        <f t="shared" si="5"/>
        <v>12.5442</v>
      </c>
      <c r="U45" s="11">
        <f t="shared" si="1"/>
        <v>0.29568500997072428</v>
      </c>
      <c r="V45" s="1" t="str">
        <f t="shared" si="2"/>
        <v>Fast</v>
      </c>
      <c r="W45" s="1" t="str">
        <f t="shared" si="3"/>
        <v>OK</v>
      </c>
    </row>
    <row r="46" spans="1:23">
      <c r="A46" s="1">
        <v>56664</v>
      </c>
      <c r="B46" s="10">
        <v>45678</v>
      </c>
      <c r="C46" s="1">
        <v>4</v>
      </c>
      <c r="D46" s="1" t="s">
        <v>57</v>
      </c>
      <c r="E46" s="1" t="s">
        <v>67</v>
      </c>
      <c r="F46" s="1" t="s">
        <v>79</v>
      </c>
      <c r="G46" s="1" t="s">
        <v>60</v>
      </c>
      <c r="H46" s="1" t="s">
        <v>70</v>
      </c>
      <c r="I46" s="1" t="s">
        <v>119</v>
      </c>
      <c r="J46" s="24">
        <v>1.95</v>
      </c>
      <c r="K46" s="24">
        <v>3.98</v>
      </c>
      <c r="L46" s="28">
        <v>2.0299999999999998</v>
      </c>
      <c r="M46" s="1">
        <v>5</v>
      </c>
      <c r="N46" s="28">
        <v>19.899999999999999</v>
      </c>
      <c r="O46" s="29">
        <v>0.02</v>
      </c>
      <c r="P46" s="28">
        <v>0.39800000000000002</v>
      </c>
      <c r="Q46" s="28">
        <v>19.501999999999999</v>
      </c>
      <c r="R46" s="1" t="str">
        <f t="shared" si="0"/>
        <v>Jan</v>
      </c>
      <c r="S46" s="28">
        <f t="shared" si="4"/>
        <v>9.75</v>
      </c>
      <c r="T46" s="28">
        <f t="shared" si="5"/>
        <v>9.7519999999999989</v>
      </c>
      <c r="U46" s="11">
        <f t="shared" si="1"/>
        <v>0.50005127679212391</v>
      </c>
      <c r="V46" s="1" t="str">
        <f t="shared" si="2"/>
        <v>Standard</v>
      </c>
      <c r="W46" s="1" t="str">
        <f t="shared" si="3"/>
        <v>OK</v>
      </c>
    </row>
    <row r="47" spans="1:23">
      <c r="A47" s="1">
        <v>56665</v>
      </c>
      <c r="B47" s="10">
        <v>45678</v>
      </c>
      <c r="C47" s="1">
        <v>13</v>
      </c>
      <c r="D47" s="1" t="s">
        <v>57</v>
      </c>
      <c r="E47" s="1" t="s">
        <v>67</v>
      </c>
      <c r="F47" s="1" t="s">
        <v>64</v>
      </c>
      <c r="G47" s="1" t="s">
        <v>60</v>
      </c>
      <c r="H47" s="1" t="s">
        <v>70</v>
      </c>
      <c r="I47" s="1" t="s">
        <v>120</v>
      </c>
      <c r="J47" s="24">
        <v>16.8</v>
      </c>
      <c r="K47" s="24">
        <v>40.97</v>
      </c>
      <c r="L47" s="28">
        <v>24.17</v>
      </c>
      <c r="M47" s="1">
        <v>56</v>
      </c>
      <c r="N47" s="28">
        <v>2294.3200000000002</v>
      </c>
      <c r="O47" s="29">
        <v>0.04</v>
      </c>
      <c r="P47" s="28">
        <v>91.772799999999989</v>
      </c>
      <c r="Q47" s="28">
        <v>2202.5472</v>
      </c>
      <c r="R47" s="1" t="str">
        <f t="shared" si="0"/>
        <v>Jan</v>
      </c>
      <c r="S47" s="28">
        <f t="shared" si="4"/>
        <v>940.80000000000007</v>
      </c>
      <c r="T47" s="28">
        <f t="shared" si="5"/>
        <v>1261.7471999999998</v>
      </c>
      <c r="U47" s="11">
        <f t="shared" si="1"/>
        <v>0.57285818891872098</v>
      </c>
      <c r="V47" s="1" t="str">
        <f t="shared" si="2"/>
        <v>Slow</v>
      </c>
      <c r="W47" s="1" t="str">
        <f t="shared" si="3"/>
        <v>OK</v>
      </c>
    </row>
    <row r="48" spans="1:23">
      <c r="A48" s="1">
        <v>56666</v>
      </c>
      <c r="B48" s="10">
        <v>45680</v>
      </c>
      <c r="C48" s="1">
        <v>3</v>
      </c>
      <c r="D48" s="1" t="s">
        <v>63</v>
      </c>
      <c r="E48" s="1" t="s">
        <v>58</v>
      </c>
      <c r="F48" s="1" t="s">
        <v>75</v>
      </c>
      <c r="G48" s="1" t="s">
        <v>60</v>
      </c>
      <c r="H48" s="1" t="s">
        <v>90</v>
      </c>
      <c r="I48" s="1" t="s">
        <v>121</v>
      </c>
      <c r="J48" s="24">
        <v>1.84</v>
      </c>
      <c r="K48" s="24">
        <v>2.88</v>
      </c>
      <c r="L48" s="28">
        <v>1.04</v>
      </c>
      <c r="M48" s="1">
        <v>26</v>
      </c>
      <c r="N48" s="28">
        <v>74.88</v>
      </c>
      <c r="O48" s="29">
        <v>0.1</v>
      </c>
      <c r="P48" s="28">
        <v>7.4880000000000004</v>
      </c>
      <c r="Q48" s="28">
        <v>67.391999999999996</v>
      </c>
      <c r="R48" s="1" t="str">
        <f t="shared" si="0"/>
        <v>Jan</v>
      </c>
      <c r="S48" s="28">
        <f t="shared" si="4"/>
        <v>47.84</v>
      </c>
      <c r="T48" s="28">
        <f t="shared" si="5"/>
        <v>19.551999999999992</v>
      </c>
      <c r="U48" s="11">
        <f t="shared" si="1"/>
        <v>0.29012345679012336</v>
      </c>
      <c r="V48" s="1" t="str">
        <f t="shared" si="2"/>
        <v>Fast</v>
      </c>
      <c r="W48" s="1" t="str">
        <f t="shared" si="3"/>
        <v>OK</v>
      </c>
    </row>
    <row r="49" spans="1:23">
      <c r="A49" s="1">
        <v>56667</v>
      </c>
      <c r="B49" s="10">
        <v>45681</v>
      </c>
      <c r="C49" s="1">
        <v>5</v>
      </c>
      <c r="D49" s="1" t="s">
        <v>63</v>
      </c>
      <c r="E49" s="1" t="s">
        <v>67</v>
      </c>
      <c r="F49" s="1" t="s">
        <v>64</v>
      </c>
      <c r="G49" s="1" t="s">
        <v>60</v>
      </c>
      <c r="H49" s="1" t="s">
        <v>68</v>
      </c>
      <c r="I49" s="1" t="s">
        <v>122</v>
      </c>
      <c r="J49" s="24">
        <v>14.95</v>
      </c>
      <c r="K49" s="24">
        <v>34.76</v>
      </c>
      <c r="L49" s="28">
        <v>19.809999999999999</v>
      </c>
      <c r="M49" s="1">
        <v>8</v>
      </c>
      <c r="N49" s="28">
        <v>278.08</v>
      </c>
      <c r="O49" s="29">
        <v>7.0000000000000007E-2</v>
      </c>
      <c r="P49" s="28">
        <v>19.465599999999998</v>
      </c>
      <c r="Q49" s="28">
        <v>258.61439999999999</v>
      </c>
      <c r="R49" s="1" t="str">
        <f t="shared" si="0"/>
        <v>Jan</v>
      </c>
      <c r="S49" s="28">
        <f t="shared" si="4"/>
        <v>119.6</v>
      </c>
      <c r="T49" s="28">
        <f t="shared" si="5"/>
        <v>139.01439999999999</v>
      </c>
      <c r="U49" s="11">
        <f t="shared" si="1"/>
        <v>0.5375354195280696</v>
      </c>
      <c r="V49" s="1" t="str">
        <f t="shared" si="2"/>
        <v>Standard</v>
      </c>
      <c r="W49" s="1" t="str">
        <f t="shared" si="3"/>
        <v>OK</v>
      </c>
    </row>
    <row r="50" spans="1:23">
      <c r="A50" s="1">
        <v>56668</v>
      </c>
      <c r="B50" s="10">
        <v>45682</v>
      </c>
      <c r="C50" s="1">
        <v>6</v>
      </c>
      <c r="D50" s="1" t="s">
        <v>57</v>
      </c>
      <c r="E50" s="1" t="s">
        <v>87</v>
      </c>
      <c r="F50" s="1" t="s">
        <v>18</v>
      </c>
      <c r="G50" s="1" t="s">
        <v>60</v>
      </c>
      <c r="H50" s="1" t="s">
        <v>70</v>
      </c>
      <c r="I50" s="1" t="s">
        <v>106</v>
      </c>
      <c r="J50" s="24">
        <v>1.17</v>
      </c>
      <c r="K50" s="24">
        <v>2.78</v>
      </c>
      <c r="L50" s="28">
        <v>1.61</v>
      </c>
      <c r="M50" s="1">
        <v>36</v>
      </c>
      <c r="N50" s="28">
        <v>100.08</v>
      </c>
      <c r="O50" s="29">
        <v>0.05</v>
      </c>
      <c r="P50" s="28">
        <v>5.0039999999999996</v>
      </c>
      <c r="Q50" s="28">
        <v>95.075999999999993</v>
      </c>
      <c r="R50" s="1" t="str">
        <f t="shared" si="0"/>
        <v>Jan</v>
      </c>
      <c r="S50" s="28">
        <f t="shared" si="4"/>
        <v>42.12</v>
      </c>
      <c r="T50" s="28">
        <f t="shared" si="5"/>
        <v>52.955999999999996</v>
      </c>
      <c r="U50" s="11">
        <f t="shared" si="1"/>
        <v>0.55698599015524419</v>
      </c>
      <c r="V50" s="1" t="str">
        <f t="shared" si="2"/>
        <v>Standard</v>
      </c>
      <c r="W50" s="1" t="str">
        <f t="shared" si="3"/>
        <v>OK</v>
      </c>
    </row>
    <row r="51" spans="1:23">
      <c r="A51" s="1">
        <v>56669</v>
      </c>
      <c r="B51" s="10">
        <v>45682</v>
      </c>
      <c r="C51" s="1">
        <v>7</v>
      </c>
      <c r="D51" s="1" t="s">
        <v>57</v>
      </c>
      <c r="E51" s="1" t="s">
        <v>58</v>
      </c>
      <c r="F51" s="1" t="s">
        <v>96</v>
      </c>
      <c r="G51" s="1" t="s">
        <v>60</v>
      </c>
      <c r="H51" s="1" t="s">
        <v>61</v>
      </c>
      <c r="I51" s="1" t="s">
        <v>123</v>
      </c>
      <c r="J51" s="24">
        <v>1.18</v>
      </c>
      <c r="K51" s="24">
        <v>1.88</v>
      </c>
      <c r="L51" s="28">
        <v>0.7</v>
      </c>
      <c r="M51" s="1">
        <v>17</v>
      </c>
      <c r="N51" s="28">
        <v>31.96</v>
      </c>
      <c r="O51" s="29">
        <v>7.0000000000000007E-2</v>
      </c>
      <c r="P51" s="28">
        <v>2.2372000000000001</v>
      </c>
      <c r="Q51" s="28">
        <v>29.722799999999999</v>
      </c>
      <c r="R51" s="1" t="str">
        <f t="shared" si="0"/>
        <v>Jan</v>
      </c>
      <c r="S51" s="28">
        <f t="shared" si="4"/>
        <v>20.059999999999999</v>
      </c>
      <c r="T51" s="28">
        <f t="shared" si="5"/>
        <v>9.6628000000000007</v>
      </c>
      <c r="U51" s="11">
        <f t="shared" si="1"/>
        <v>0.32509723175474725</v>
      </c>
      <c r="V51" s="1" t="str">
        <f t="shared" si="2"/>
        <v>Standard</v>
      </c>
      <c r="W51" s="1" t="str">
        <f t="shared" si="3"/>
        <v>OK</v>
      </c>
    </row>
    <row r="52" spans="1:23">
      <c r="A52" s="1">
        <v>56670</v>
      </c>
      <c r="B52" s="10">
        <v>45682</v>
      </c>
      <c r="C52" s="1">
        <v>7</v>
      </c>
      <c r="D52" s="1" t="s">
        <v>57</v>
      </c>
      <c r="E52" s="1" t="s">
        <v>58</v>
      </c>
      <c r="F52" s="1" t="s">
        <v>83</v>
      </c>
      <c r="G52" s="1" t="s">
        <v>60</v>
      </c>
      <c r="H52" s="1" t="s">
        <v>68</v>
      </c>
      <c r="I52" s="1" t="s">
        <v>124</v>
      </c>
      <c r="J52" s="24">
        <v>2.25</v>
      </c>
      <c r="K52" s="24">
        <v>3.69</v>
      </c>
      <c r="L52" s="28">
        <v>1.44</v>
      </c>
      <c r="M52" s="1">
        <v>45</v>
      </c>
      <c r="N52" s="28">
        <v>166.05</v>
      </c>
      <c r="O52" s="29">
        <v>0.08</v>
      </c>
      <c r="P52" s="28">
        <v>13.284000000000001</v>
      </c>
      <c r="Q52" s="28">
        <v>152.76599999999999</v>
      </c>
      <c r="R52" s="1" t="str">
        <f t="shared" si="0"/>
        <v>Jan</v>
      </c>
      <c r="S52" s="28">
        <f t="shared" si="4"/>
        <v>101.25</v>
      </c>
      <c r="T52" s="28">
        <f t="shared" si="5"/>
        <v>51.515999999999991</v>
      </c>
      <c r="U52" s="11">
        <f t="shared" si="1"/>
        <v>0.33722163308589603</v>
      </c>
      <c r="V52" s="1" t="str">
        <f t="shared" si="2"/>
        <v>Standard</v>
      </c>
      <c r="W52" s="1" t="str">
        <f t="shared" si="3"/>
        <v>OK</v>
      </c>
    </row>
    <row r="53" spans="1:23">
      <c r="A53" s="1">
        <v>56671</v>
      </c>
      <c r="B53" s="10">
        <v>45682</v>
      </c>
      <c r="C53" s="1">
        <v>11</v>
      </c>
      <c r="D53" s="1" t="s">
        <v>63</v>
      </c>
      <c r="E53" s="1" t="s">
        <v>58</v>
      </c>
      <c r="F53" s="1" t="s">
        <v>59</v>
      </c>
      <c r="G53" s="1" t="s">
        <v>60</v>
      </c>
      <c r="H53" s="1" t="s">
        <v>61</v>
      </c>
      <c r="I53" s="1" t="s">
        <v>120</v>
      </c>
      <c r="J53" s="24">
        <v>16.8</v>
      </c>
      <c r="K53" s="24">
        <v>40.97</v>
      </c>
      <c r="L53" s="28">
        <v>24.17</v>
      </c>
      <c r="M53" s="1">
        <v>45</v>
      </c>
      <c r="N53" s="28">
        <v>1843.65</v>
      </c>
      <c r="O53" s="29">
        <v>0.09</v>
      </c>
      <c r="P53" s="28">
        <v>165.92850000000001</v>
      </c>
      <c r="Q53" s="28">
        <v>1677.7215000000001</v>
      </c>
      <c r="R53" s="1" t="str">
        <f t="shared" si="0"/>
        <v>Jan</v>
      </c>
      <c r="S53" s="28">
        <f t="shared" si="4"/>
        <v>756</v>
      </c>
      <c r="T53" s="28">
        <f t="shared" si="5"/>
        <v>921.72150000000011</v>
      </c>
      <c r="U53" s="11">
        <f t="shared" si="1"/>
        <v>0.54938885863952991</v>
      </c>
      <c r="V53" s="1" t="str">
        <f t="shared" si="2"/>
        <v>Slow</v>
      </c>
      <c r="W53" s="1" t="str">
        <f t="shared" si="3"/>
        <v>OK</v>
      </c>
    </row>
    <row r="54" spans="1:23">
      <c r="A54" s="1">
        <v>56672</v>
      </c>
      <c r="B54" s="10">
        <v>45683</v>
      </c>
      <c r="C54" s="1">
        <v>13</v>
      </c>
      <c r="D54" s="1" t="s">
        <v>78</v>
      </c>
      <c r="E54" s="1" t="s">
        <v>58</v>
      </c>
      <c r="F54" s="1" t="s">
        <v>73</v>
      </c>
      <c r="G54" s="1" t="s">
        <v>60</v>
      </c>
      <c r="H54" s="1" t="s">
        <v>61</v>
      </c>
      <c r="I54" s="1" t="s">
        <v>125</v>
      </c>
      <c r="J54" s="24">
        <v>1.82</v>
      </c>
      <c r="K54" s="24">
        <v>2.84</v>
      </c>
      <c r="L54" s="28">
        <v>1.02</v>
      </c>
      <c r="M54" s="1">
        <v>24</v>
      </c>
      <c r="N54" s="28">
        <v>68.16</v>
      </c>
      <c r="O54" s="29">
        <v>0.01</v>
      </c>
      <c r="P54" s="28">
        <v>0.68159999999999998</v>
      </c>
      <c r="Q54" s="28">
        <v>67.478399999999993</v>
      </c>
      <c r="R54" s="1" t="str">
        <f t="shared" si="0"/>
        <v>Jan</v>
      </c>
      <c r="S54" s="28">
        <f t="shared" si="4"/>
        <v>43.68</v>
      </c>
      <c r="T54" s="28">
        <f t="shared" si="5"/>
        <v>23.798399999999994</v>
      </c>
      <c r="U54" s="11">
        <f t="shared" si="1"/>
        <v>0.35268174704794419</v>
      </c>
      <c r="V54" s="1" t="str">
        <f t="shared" si="2"/>
        <v>Slow</v>
      </c>
      <c r="W54" s="1" t="str">
        <f t="shared" si="3"/>
        <v>OK</v>
      </c>
    </row>
    <row r="55" spans="1:23">
      <c r="A55" s="1">
        <v>56673</v>
      </c>
      <c r="B55" s="10">
        <v>45684</v>
      </c>
      <c r="C55" s="1">
        <v>7</v>
      </c>
      <c r="D55" s="1" t="s">
        <v>57</v>
      </c>
      <c r="E55" s="1" t="s">
        <v>72</v>
      </c>
      <c r="F55" s="1" t="s">
        <v>73</v>
      </c>
      <c r="G55" s="1" t="s">
        <v>60</v>
      </c>
      <c r="H55" s="1" t="s">
        <v>70</v>
      </c>
      <c r="I55" s="1" t="s">
        <v>97</v>
      </c>
      <c r="J55" s="24">
        <v>1.6</v>
      </c>
      <c r="K55" s="24">
        <v>2.62</v>
      </c>
      <c r="L55" s="28">
        <v>1.02</v>
      </c>
      <c r="M55" s="1">
        <v>27</v>
      </c>
      <c r="N55" s="28">
        <v>70.740000000000009</v>
      </c>
      <c r="O55" s="29">
        <v>0.08</v>
      </c>
      <c r="P55" s="28">
        <v>5.6592000000000011</v>
      </c>
      <c r="Q55" s="28">
        <v>65.080800000000011</v>
      </c>
      <c r="R55" s="1" t="str">
        <f t="shared" si="0"/>
        <v>Jan</v>
      </c>
      <c r="S55" s="28">
        <f t="shared" si="4"/>
        <v>43.2</v>
      </c>
      <c r="T55" s="28">
        <f t="shared" si="5"/>
        <v>21.880800000000008</v>
      </c>
      <c r="U55" s="11">
        <f t="shared" si="1"/>
        <v>0.33620975771656164</v>
      </c>
      <c r="V55" s="1" t="str">
        <f t="shared" si="2"/>
        <v>Standard</v>
      </c>
      <c r="W55" s="1" t="str">
        <f t="shared" si="3"/>
        <v>OK</v>
      </c>
    </row>
    <row r="56" spans="1:23">
      <c r="A56" s="1">
        <v>56674</v>
      </c>
      <c r="B56" s="10">
        <v>45685</v>
      </c>
      <c r="C56" s="1">
        <v>2</v>
      </c>
      <c r="D56" s="1" t="s">
        <v>57</v>
      </c>
      <c r="E56" s="1" t="s">
        <v>58</v>
      </c>
      <c r="F56" s="1" t="s">
        <v>59</v>
      </c>
      <c r="G56" s="1" t="s">
        <v>60</v>
      </c>
      <c r="H56" s="1" t="s">
        <v>90</v>
      </c>
      <c r="I56" s="1" t="s">
        <v>126</v>
      </c>
      <c r="J56" s="24">
        <v>1.0900000000000001</v>
      </c>
      <c r="K56" s="24">
        <v>2.6</v>
      </c>
      <c r="L56" s="28">
        <v>1.51</v>
      </c>
      <c r="M56" s="1">
        <v>12</v>
      </c>
      <c r="N56" s="28">
        <v>31.2</v>
      </c>
      <c r="O56" s="29">
        <v>0.08</v>
      </c>
      <c r="P56" s="28">
        <v>2.496</v>
      </c>
      <c r="Q56" s="28">
        <v>28.704000000000001</v>
      </c>
      <c r="R56" s="1" t="str">
        <f t="shared" si="0"/>
        <v>Jan</v>
      </c>
      <c r="S56" s="28">
        <f t="shared" si="4"/>
        <v>13.080000000000002</v>
      </c>
      <c r="T56" s="28">
        <f t="shared" si="5"/>
        <v>15.623999999999999</v>
      </c>
      <c r="U56" s="11">
        <f t="shared" si="1"/>
        <v>0.54431438127090293</v>
      </c>
      <c r="V56" s="1" t="str">
        <f t="shared" si="2"/>
        <v>Fast</v>
      </c>
      <c r="W56" s="1" t="str">
        <f t="shared" si="3"/>
        <v>OK</v>
      </c>
    </row>
    <row r="57" spans="1:23">
      <c r="A57" s="1">
        <v>56675</v>
      </c>
      <c r="B57" s="10">
        <v>45685</v>
      </c>
      <c r="C57" s="1">
        <v>3</v>
      </c>
      <c r="D57" s="1" t="s">
        <v>57</v>
      </c>
      <c r="E57" s="1" t="s">
        <v>72</v>
      </c>
      <c r="F57" s="1" t="s">
        <v>59</v>
      </c>
      <c r="G57" s="1" t="s">
        <v>60</v>
      </c>
      <c r="H57" s="1" t="s">
        <v>68</v>
      </c>
      <c r="I57" s="1" t="s">
        <v>127</v>
      </c>
      <c r="J57" s="24">
        <v>0.32</v>
      </c>
      <c r="K57" s="24">
        <v>1.68</v>
      </c>
      <c r="L57" s="28">
        <v>1.36</v>
      </c>
      <c r="M57" s="1">
        <v>7</v>
      </c>
      <c r="N57" s="28">
        <v>11.76</v>
      </c>
      <c r="O57" s="29">
        <v>0.05</v>
      </c>
      <c r="P57" s="28">
        <v>0.58799999999999997</v>
      </c>
      <c r="Q57" s="28">
        <v>11.172000000000001</v>
      </c>
      <c r="R57" s="1" t="str">
        <f t="shared" si="0"/>
        <v>Jan</v>
      </c>
      <c r="S57" s="28">
        <f t="shared" si="4"/>
        <v>2.2400000000000002</v>
      </c>
      <c r="T57" s="28">
        <f t="shared" si="5"/>
        <v>8.9320000000000004</v>
      </c>
      <c r="U57" s="11">
        <f t="shared" si="1"/>
        <v>0.79949874686716793</v>
      </c>
      <c r="V57" s="1" t="str">
        <f t="shared" si="2"/>
        <v>Fast</v>
      </c>
      <c r="W57" s="1" t="str">
        <f t="shared" si="3"/>
        <v>OK</v>
      </c>
    </row>
    <row r="58" spans="1:23">
      <c r="A58" s="1">
        <v>56676</v>
      </c>
      <c r="B58" s="10">
        <v>45685</v>
      </c>
      <c r="C58" s="1">
        <v>7</v>
      </c>
      <c r="D58" s="1" t="s">
        <v>63</v>
      </c>
      <c r="E58" s="1" t="s">
        <v>72</v>
      </c>
      <c r="F58" s="1" t="s">
        <v>108</v>
      </c>
      <c r="G58" s="1" t="s">
        <v>60</v>
      </c>
      <c r="H58" s="1" t="s">
        <v>90</v>
      </c>
      <c r="I58" s="1" t="s">
        <v>128</v>
      </c>
      <c r="J58" s="24">
        <v>178.83</v>
      </c>
      <c r="K58" s="24">
        <v>415.88</v>
      </c>
      <c r="L58" s="28">
        <v>237.05</v>
      </c>
      <c r="M58" s="1">
        <v>4</v>
      </c>
      <c r="N58" s="28">
        <v>1663.52</v>
      </c>
      <c r="O58" s="29">
        <v>0.03</v>
      </c>
      <c r="P58" s="28">
        <v>49.9056</v>
      </c>
      <c r="Q58" s="28">
        <v>1613.6143999999999</v>
      </c>
      <c r="R58" s="1" t="str">
        <f t="shared" si="0"/>
        <v>Jan</v>
      </c>
      <c r="S58" s="28">
        <f t="shared" si="4"/>
        <v>715.32</v>
      </c>
      <c r="T58" s="28">
        <f t="shared" si="5"/>
        <v>898.29439999999988</v>
      </c>
      <c r="U58" s="11">
        <f t="shared" si="1"/>
        <v>0.55669706467666624</v>
      </c>
      <c r="V58" s="1" t="str">
        <f t="shared" si="2"/>
        <v>Standard</v>
      </c>
      <c r="W58" s="1" t="str">
        <f t="shared" si="3"/>
        <v>OK</v>
      </c>
    </row>
    <row r="59" spans="1:23">
      <c r="A59" s="1">
        <v>56677</v>
      </c>
      <c r="B59" s="10">
        <v>45685</v>
      </c>
      <c r="C59" s="1">
        <v>2</v>
      </c>
      <c r="D59" s="1" t="s">
        <v>78</v>
      </c>
      <c r="E59" s="1" t="s">
        <v>87</v>
      </c>
      <c r="F59" s="1" t="s">
        <v>108</v>
      </c>
      <c r="G59" s="1" t="s">
        <v>60</v>
      </c>
      <c r="H59" s="1" t="s">
        <v>70</v>
      </c>
      <c r="I59" s="1" t="s">
        <v>97</v>
      </c>
      <c r="J59" s="24">
        <v>1.6</v>
      </c>
      <c r="K59" s="24">
        <v>2.62</v>
      </c>
      <c r="L59" s="28">
        <v>1.02</v>
      </c>
      <c r="M59" s="1">
        <v>49</v>
      </c>
      <c r="N59" s="28">
        <v>128.38</v>
      </c>
      <c r="O59" s="29">
        <v>0.1</v>
      </c>
      <c r="P59" s="28">
        <v>12.837999999999999</v>
      </c>
      <c r="Q59" s="28">
        <v>115.542</v>
      </c>
      <c r="R59" s="1" t="str">
        <f t="shared" si="0"/>
        <v>Jan</v>
      </c>
      <c r="S59" s="28">
        <f t="shared" si="4"/>
        <v>78.400000000000006</v>
      </c>
      <c r="T59" s="28">
        <f t="shared" si="5"/>
        <v>37.141999999999996</v>
      </c>
      <c r="U59" s="11">
        <f t="shared" si="1"/>
        <v>0.32145886344359625</v>
      </c>
      <c r="V59" s="1" t="str">
        <f t="shared" si="2"/>
        <v>Fast</v>
      </c>
      <c r="W59" s="1" t="str">
        <f t="shared" si="3"/>
        <v>OK</v>
      </c>
    </row>
    <row r="60" spans="1:23">
      <c r="A60" s="1">
        <v>56678</v>
      </c>
      <c r="B60" s="10">
        <v>45685</v>
      </c>
      <c r="C60" s="1">
        <v>4</v>
      </c>
      <c r="D60" s="1" t="s">
        <v>57</v>
      </c>
      <c r="E60" s="1" t="s">
        <v>72</v>
      </c>
      <c r="F60" s="1" t="s">
        <v>73</v>
      </c>
      <c r="G60" s="1" t="s">
        <v>60</v>
      </c>
      <c r="H60" s="1" t="s">
        <v>68</v>
      </c>
      <c r="I60" s="1" t="s">
        <v>129</v>
      </c>
      <c r="J60" s="24">
        <v>0.93</v>
      </c>
      <c r="K60" s="24">
        <v>1.6</v>
      </c>
      <c r="L60" s="28">
        <v>0.67</v>
      </c>
      <c r="M60" s="1">
        <v>23</v>
      </c>
      <c r="N60" s="28">
        <v>36.799999999999997</v>
      </c>
      <c r="O60" s="29">
        <v>0.1</v>
      </c>
      <c r="P60" s="28">
        <v>3.680000000000001</v>
      </c>
      <c r="Q60" s="28">
        <v>33.119999999999997</v>
      </c>
      <c r="R60" s="1" t="str">
        <f t="shared" si="0"/>
        <v>Jan</v>
      </c>
      <c r="S60" s="28">
        <f t="shared" si="4"/>
        <v>21.39</v>
      </c>
      <c r="T60" s="28">
        <f t="shared" si="5"/>
        <v>11.729999999999997</v>
      </c>
      <c r="U60" s="11">
        <f t="shared" si="1"/>
        <v>0.35416666666666657</v>
      </c>
      <c r="V60" s="1" t="str">
        <f t="shared" si="2"/>
        <v>Standard</v>
      </c>
      <c r="W60" s="1" t="str">
        <f t="shared" si="3"/>
        <v>OK</v>
      </c>
    </row>
    <row r="61" spans="1:23">
      <c r="A61" s="1">
        <v>56679</v>
      </c>
      <c r="B61" s="10">
        <v>45686</v>
      </c>
      <c r="C61" s="1">
        <v>5</v>
      </c>
      <c r="D61" s="1" t="s">
        <v>57</v>
      </c>
      <c r="E61" s="1" t="s">
        <v>87</v>
      </c>
      <c r="F61" s="1" t="s">
        <v>84</v>
      </c>
      <c r="G61" s="1" t="s">
        <v>81</v>
      </c>
      <c r="H61" s="1" t="s">
        <v>65</v>
      </c>
      <c r="I61" s="1" t="s">
        <v>130</v>
      </c>
      <c r="J61" s="24">
        <v>156.5</v>
      </c>
      <c r="K61" s="24">
        <v>300.97000000000003</v>
      </c>
      <c r="L61" s="28">
        <v>144.47</v>
      </c>
      <c r="M61" s="1">
        <v>9</v>
      </c>
      <c r="N61" s="28">
        <v>2708.73</v>
      </c>
      <c r="O61" s="29">
        <v>0.05</v>
      </c>
      <c r="P61" s="28">
        <v>135.4365</v>
      </c>
      <c r="Q61" s="28">
        <v>2573.2935000000011</v>
      </c>
      <c r="R61" s="1" t="str">
        <f t="shared" si="0"/>
        <v>Jan</v>
      </c>
      <c r="S61" s="28">
        <f t="shared" si="4"/>
        <v>1408.5</v>
      </c>
      <c r="T61" s="28">
        <f t="shared" si="5"/>
        <v>1164.7935000000011</v>
      </c>
      <c r="U61" s="11">
        <f t="shared" si="1"/>
        <v>0.45264696778661301</v>
      </c>
      <c r="V61" s="1" t="str">
        <f t="shared" si="2"/>
        <v>Standard</v>
      </c>
      <c r="W61" s="1" t="str">
        <f t="shared" si="3"/>
        <v>OK</v>
      </c>
    </row>
    <row r="62" spans="1:23">
      <c r="A62" s="1">
        <v>56680</v>
      </c>
      <c r="B62" s="10">
        <v>45686</v>
      </c>
      <c r="C62" s="1">
        <v>7</v>
      </c>
      <c r="D62" s="1" t="s">
        <v>63</v>
      </c>
      <c r="E62" s="1" t="s">
        <v>72</v>
      </c>
      <c r="F62" s="1" t="s">
        <v>75</v>
      </c>
      <c r="G62" s="1" t="s">
        <v>60</v>
      </c>
      <c r="H62" s="1" t="s">
        <v>68</v>
      </c>
      <c r="I62" s="1" t="s">
        <v>77</v>
      </c>
      <c r="J62" s="24">
        <v>12.39</v>
      </c>
      <c r="K62" s="24">
        <v>19.98</v>
      </c>
      <c r="L62" s="28">
        <v>7.59</v>
      </c>
      <c r="M62" s="1">
        <v>55</v>
      </c>
      <c r="N62" s="28">
        <v>1098.9000000000001</v>
      </c>
      <c r="O62" s="29">
        <v>0.01</v>
      </c>
      <c r="P62" s="28">
        <v>10.989000000000001</v>
      </c>
      <c r="Q62" s="28">
        <v>1087.9110000000001</v>
      </c>
      <c r="R62" s="1" t="str">
        <f t="shared" si="0"/>
        <v>Jan</v>
      </c>
      <c r="S62" s="28">
        <f t="shared" si="4"/>
        <v>681.45</v>
      </c>
      <c r="T62" s="28">
        <f t="shared" si="5"/>
        <v>406.46100000000001</v>
      </c>
      <c r="U62" s="11">
        <f t="shared" si="1"/>
        <v>0.37361604028270695</v>
      </c>
      <c r="V62" s="1" t="str">
        <f t="shared" si="2"/>
        <v>Standard</v>
      </c>
      <c r="W62" s="1" t="str">
        <f t="shared" si="3"/>
        <v>OK</v>
      </c>
    </row>
    <row r="63" spans="1:23">
      <c r="A63" s="1">
        <v>56681</v>
      </c>
      <c r="B63" s="10">
        <v>45686</v>
      </c>
      <c r="C63" s="1">
        <v>19</v>
      </c>
      <c r="D63" s="1" t="s">
        <v>57</v>
      </c>
      <c r="E63" s="1" t="s">
        <v>87</v>
      </c>
      <c r="F63" s="1" t="s">
        <v>84</v>
      </c>
      <c r="G63" s="1" t="s">
        <v>60</v>
      </c>
      <c r="H63" s="1" t="s">
        <v>65</v>
      </c>
      <c r="I63" s="1" t="s">
        <v>131</v>
      </c>
      <c r="J63" s="24">
        <v>0.24</v>
      </c>
      <c r="K63" s="24">
        <v>1.26</v>
      </c>
      <c r="L63" s="28">
        <v>1.02</v>
      </c>
      <c r="M63" s="1">
        <v>8</v>
      </c>
      <c r="N63" s="28">
        <v>10.08</v>
      </c>
      <c r="O63" s="29">
        <v>0.06</v>
      </c>
      <c r="P63" s="28">
        <v>0.6048</v>
      </c>
      <c r="Q63" s="28">
        <v>9.475200000000001</v>
      </c>
      <c r="R63" s="1" t="str">
        <f t="shared" si="0"/>
        <v>Jan</v>
      </c>
      <c r="S63" s="28">
        <f t="shared" si="4"/>
        <v>1.92</v>
      </c>
      <c r="T63" s="28">
        <f t="shared" si="5"/>
        <v>7.555200000000001</v>
      </c>
      <c r="U63" s="11">
        <f t="shared" si="1"/>
        <v>0.79736575481256333</v>
      </c>
      <c r="V63" s="1" t="str">
        <f t="shared" si="2"/>
        <v>Very Slow</v>
      </c>
      <c r="W63" s="1" t="str">
        <f t="shared" si="3"/>
        <v>OK</v>
      </c>
    </row>
    <row r="64" spans="1:23">
      <c r="A64" s="1">
        <v>56682</v>
      </c>
      <c r="B64" s="10">
        <v>45687</v>
      </c>
      <c r="C64" s="1">
        <v>2</v>
      </c>
      <c r="D64" s="1" t="s">
        <v>63</v>
      </c>
      <c r="E64" s="1" t="s">
        <v>67</v>
      </c>
      <c r="F64" s="1" t="s">
        <v>96</v>
      </c>
      <c r="G64" s="1" t="s">
        <v>60</v>
      </c>
      <c r="H64" s="1" t="s">
        <v>61</v>
      </c>
      <c r="I64" s="1" t="s">
        <v>62</v>
      </c>
      <c r="J64" s="24">
        <v>4.1900000000000004</v>
      </c>
      <c r="K64" s="24">
        <v>10.23</v>
      </c>
      <c r="L64" s="28">
        <v>6.04</v>
      </c>
      <c r="M64" s="1">
        <v>41</v>
      </c>
      <c r="N64" s="28">
        <v>419.43</v>
      </c>
      <c r="O64" s="29">
        <v>0.01</v>
      </c>
      <c r="P64" s="28">
        <v>4.1943000000000001</v>
      </c>
      <c r="Q64" s="28">
        <v>415.23570000000001</v>
      </c>
      <c r="R64" s="1" t="str">
        <f t="shared" si="0"/>
        <v>Jan</v>
      </c>
      <c r="S64" s="28">
        <f t="shared" si="4"/>
        <v>171.79000000000002</v>
      </c>
      <c r="T64" s="28">
        <f t="shared" si="5"/>
        <v>243.44569999999999</v>
      </c>
      <c r="U64" s="11">
        <f t="shared" si="1"/>
        <v>0.58628316399577396</v>
      </c>
      <c r="V64" s="1" t="str">
        <f t="shared" si="2"/>
        <v>Fast</v>
      </c>
      <c r="W64" s="1" t="str">
        <f t="shared" si="3"/>
        <v>OK</v>
      </c>
    </row>
    <row r="65" spans="1:23">
      <c r="A65" s="1">
        <v>56683</v>
      </c>
      <c r="B65" s="10">
        <v>45687</v>
      </c>
      <c r="C65" s="1">
        <v>8</v>
      </c>
      <c r="D65" s="1" t="s">
        <v>57</v>
      </c>
      <c r="E65" s="1" t="s">
        <v>87</v>
      </c>
      <c r="F65" s="1" t="s">
        <v>79</v>
      </c>
      <c r="G65" s="1" t="s">
        <v>81</v>
      </c>
      <c r="H65" s="1" t="s">
        <v>70</v>
      </c>
      <c r="I65" s="1" t="s">
        <v>132</v>
      </c>
      <c r="J65" s="24">
        <v>1.87</v>
      </c>
      <c r="K65" s="24">
        <v>8.1199999999999992</v>
      </c>
      <c r="L65" s="28">
        <v>6.2499999999999991</v>
      </c>
      <c r="M65" s="1">
        <v>13</v>
      </c>
      <c r="N65" s="28">
        <v>105.56</v>
      </c>
      <c r="O65" s="29">
        <v>0.06</v>
      </c>
      <c r="P65" s="28">
        <v>6.3335999999999988</v>
      </c>
      <c r="Q65" s="28">
        <v>99.226399999999984</v>
      </c>
      <c r="R65" s="1" t="str">
        <f t="shared" si="0"/>
        <v>Jan</v>
      </c>
      <c r="S65" s="28">
        <f t="shared" si="4"/>
        <v>24.310000000000002</v>
      </c>
      <c r="T65" s="28">
        <f t="shared" si="5"/>
        <v>74.916399999999982</v>
      </c>
      <c r="U65" s="11">
        <f t="shared" si="1"/>
        <v>0.75500471648674139</v>
      </c>
      <c r="V65" s="1" t="str">
        <f t="shared" si="2"/>
        <v>Slow</v>
      </c>
      <c r="W65" s="1" t="str">
        <f t="shared" si="3"/>
        <v>OK</v>
      </c>
    </row>
    <row r="66" spans="1:23">
      <c r="A66" s="1">
        <v>56684</v>
      </c>
      <c r="B66" s="10">
        <v>45687</v>
      </c>
      <c r="C66" s="1">
        <v>12</v>
      </c>
      <c r="D66" s="1" t="s">
        <v>63</v>
      </c>
      <c r="E66" s="1" t="s">
        <v>87</v>
      </c>
      <c r="F66" s="1" t="s">
        <v>75</v>
      </c>
      <c r="G66" s="1" t="s">
        <v>60</v>
      </c>
      <c r="H66" s="1" t="s">
        <v>61</v>
      </c>
      <c r="I66" s="1" t="s">
        <v>133</v>
      </c>
      <c r="J66" s="24">
        <v>3.65</v>
      </c>
      <c r="K66" s="24">
        <v>5.98</v>
      </c>
      <c r="L66" s="28">
        <v>2.330000000000001</v>
      </c>
      <c r="M66" s="1">
        <v>21</v>
      </c>
      <c r="N66" s="28">
        <v>125.58</v>
      </c>
      <c r="O66" s="29">
        <v>0.03</v>
      </c>
      <c r="P66" s="28">
        <v>3.7673999999999999</v>
      </c>
      <c r="Q66" s="28">
        <v>121.8126</v>
      </c>
      <c r="R66" s="1" t="str">
        <f t="shared" si="0"/>
        <v>Jan</v>
      </c>
      <c r="S66" s="28">
        <f t="shared" si="4"/>
        <v>76.649999999999991</v>
      </c>
      <c r="T66" s="28">
        <f t="shared" si="5"/>
        <v>45.162600000000012</v>
      </c>
      <c r="U66" s="11">
        <f t="shared" si="1"/>
        <v>0.3707547495086716</v>
      </c>
      <c r="V66" s="1" t="str">
        <f t="shared" si="2"/>
        <v>Slow</v>
      </c>
      <c r="W66" s="1" t="str">
        <f t="shared" si="3"/>
        <v>OK</v>
      </c>
    </row>
    <row r="67" spans="1:23">
      <c r="A67" s="1">
        <v>56685</v>
      </c>
      <c r="B67" s="10">
        <v>45688</v>
      </c>
      <c r="C67" s="1">
        <v>18</v>
      </c>
      <c r="D67" s="1" t="s">
        <v>57</v>
      </c>
      <c r="E67" s="1" t="s">
        <v>72</v>
      </c>
      <c r="F67" s="1" t="s">
        <v>64</v>
      </c>
      <c r="G67" s="1" t="s">
        <v>60</v>
      </c>
      <c r="H67" s="1" t="s">
        <v>70</v>
      </c>
      <c r="I67" s="1" t="s">
        <v>134</v>
      </c>
      <c r="J67" s="24">
        <v>5.33</v>
      </c>
      <c r="K67" s="24">
        <v>8.6</v>
      </c>
      <c r="L67" s="28">
        <v>3.27</v>
      </c>
      <c r="M67" s="1">
        <v>6</v>
      </c>
      <c r="N67" s="28">
        <v>51.599999999999987</v>
      </c>
      <c r="O67" s="29">
        <v>0.04</v>
      </c>
      <c r="P67" s="28">
        <v>2.0640000000000001</v>
      </c>
      <c r="Q67" s="28">
        <v>49.535999999999987</v>
      </c>
      <c r="R67" s="1" t="str">
        <f t="shared" si="0"/>
        <v>Jan</v>
      </c>
      <c r="S67" s="28">
        <f t="shared" si="4"/>
        <v>31.98</v>
      </c>
      <c r="T67" s="28">
        <f t="shared" si="5"/>
        <v>17.555999999999987</v>
      </c>
      <c r="U67" s="11">
        <f t="shared" si="1"/>
        <v>0.35440891472868197</v>
      </c>
      <c r="V67" s="1" t="str">
        <f t="shared" si="2"/>
        <v>Very Slow</v>
      </c>
      <c r="W67" s="1" t="str">
        <f t="shared" si="3"/>
        <v>OK</v>
      </c>
    </row>
    <row r="68" spans="1:23">
      <c r="A68" s="1">
        <v>56686</v>
      </c>
      <c r="B68" s="10">
        <v>45688</v>
      </c>
      <c r="C68" s="1">
        <v>6</v>
      </c>
      <c r="D68" s="1" t="s">
        <v>57</v>
      </c>
      <c r="E68" s="1" t="s">
        <v>72</v>
      </c>
      <c r="F68" s="1" t="s">
        <v>64</v>
      </c>
      <c r="G68" s="1" t="s">
        <v>60</v>
      </c>
      <c r="H68" s="1" t="s">
        <v>70</v>
      </c>
      <c r="I68" s="1" t="s">
        <v>135</v>
      </c>
      <c r="J68" s="24">
        <v>2.29</v>
      </c>
      <c r="K68" s="24">
        <v>3.58</v>
      </c>
      <c r="L68" s="28">
        <v>1.29</v>
      </c>
      <c r="M68" s="1">
        <v>35</v>
      </c>
      <c r="N68" s="28">
        <v>125.3</v>
      </c>
      <c r="O68" s="29">
        <v>0.01</v>
      </c>
      <c r="P68" s="28">
        <v>1.2529999999999999</v>
      </c>
      <c r="Q68" s="28">
        <v>124.047</v>
      </c>
      <c r="R68" s="1" t="str">
        <f t="shared" si="0"/>
        <v>Jan</v>
      </c>
      <c r="S68" s="28">
        <f t="shared" si="4"/>
        <v>80.150000000000006</v>
      </c>
      <c r="T68" s="28">
        <f t="shared" si="5"/>
        <v>43.896999999999991</v>
      </c>
      <c r="U68" s="11">
        <f t="shared" si="1"/>
        <v>0.3538739348795214</v>
      </c>
      <c r="V68" s="1" t="str">
        <f t="shared" si="2"/>
        <v>Standard</v>
      </c>
      <c r="W68" s="1" t="str">
        <f t="shared" si="3"/>
        <v>OK</v>
      </c>
    </row>
    <row r="69" spans="1:23">
      <c r="A69" s="1">
        <v>56687</v>
      </c>
      <c r="B69" s="10">
        <v>45688</v>
      </c>
      <c r="C69" s="1">
        <v>5</v>
      </c>
      <c r="D69" s="1" t="s">
        <v>57</v>
      </c>
      <c r="E69" s="1" t="s">
        <v>58</v>
      </c>
      <c r="F69" s="1" t="s">
        <v>73</v>
      </c>
      <c r="G69" s="1" t="s">
        <v>60</v>
      </c>
      <c r="H69" s="1" t="s">
        <v>70</v>
      </c>
      <c r="I69" s="1" t="s">
        <v>136</v>
      </c>
      <c r="J69" s="24">
        <v>18.38</v>
      </c>
      <c r="K69" s="24">
        <v>29.17</v>
      </c>
      <c r="L69" s="28">
        <v>10.79</v>
      </c>
      <c r="M69" s="1">
        <v>15</v>
      </c>
      <c r="N69" s="28">
        <v>437.55</v>
      </c>
      <c r="O69" s="29">
        <v>7.0000000000000007E-2</v>
      </c>
      <c r="P69" s="28">
        <v>30.628499999999999</v>
      </c>
      <c r="Q69" s="28">
        <v>406.92149999999998</v>
      </c>
      <c r="R69" s="1" t="str">
        <f t="shared" ref="R69:R132" si="6">TEXT(B69,"mmm")</f>
        <v>Jan</v>
      </c>
      <c r="S69" s="28">
        <f t="shared" si="4"/>
        <v>275.7</v>
      </c>
      <c r="T69" s="28">
        <f t="shared" si="5"/>
        <v>131.22149999999999</v>
      </c>
      <c r="U69" s="11">
        <f t="shared" ref="U69:U132" si="7">IF(Q69=0,0,T69/Q69)</f>
        <v>0.32247374493606262</v>
      </c>
      <c r="V69" s="1" t="str">
        <f t="shared" ref="V69:V132" si="8">IF(C69&lt;=3,"Fast",IF(C69&lt;=7,"Standard",IF(C69&lt;=14,"Slow","Very Slow")))</f>
        <v>Standard</v>
      </c>
      <c r="W69" s="1" t="str">
        <f t="shared" ref="W69:W132" si="9">IF(OR(H69="Not Specifiedd",P69&lt;0),"Review","OK")</f>
        <v>OK</v>
      </c>
    </row>
    <row r="70" spans="1:23">
      <c r="A70" s="1">
        <v>56688</v>
      </c>
      <c r="B70" s="10">
        <v>45690</v>
      </c>
      <c r="C70" s="1">
        <v>9</v>
      </c>
      <c r="D70" s="1" t="s">
        <v>57</v>
      </c>
      <c r="E70" s="1" t="s">
        <v>72</v>
      </c>
      <c r="F70" s="1" t="s">
        <v>59</v>
      </c>
      <c r="G70" s="1" t="s">
        <v>60</v>
      </c>
      <c r="H70" s="1" t="s">
        <v>90</v>
      </c>
      <c r="I70" s="1" t="s">
        <v>103</v>
      </c>
      <c r="J70" s="24">
        <v>4.59</v>
      </c>
      <c r="K70" s="24">
        <v>7.28</v>
      </c>
      <c r="L70" s="28">
        <v>2.69</v>
      </c>
      <c r="M70" s="1">
        <v>43</v>
      </c>
      <c r="N70" s="28">
        <v>313.04000000000002</v>
      </c>
      <c r="O70" s="29">
        <v>0.05</v>
      </c>
      <c r="P70" s="28">
        <v>15.651999999999999</v>
      </c>
      <c r="Q70" s="28">
        <v>297.38799999999998</v>
      </c>
      <c r="R70" s="1" t="str">
        <f t="shared" si="6"/>
        <v>Feb</v>
      </c>
      <c r="S70" s="28">
        <f t="shared" ref="S70:S133" si="10">J70*M70</f>
        <v>197.37</v>
      </c>
      <c r="T70" s="28">
        <f t="shared" ref="T70:T133" si="11">Q70-S70</f>
        <v>100.01799999999997</v>
      </c>
      <c r="U70" s="11">
        <f t="shared" si="7"/>
        <v>0.33632157316367833</v>
      </c>
      <c r="V70" s="1" t="str">
        <f t="shared" si="8"/>
        <v>Slow</v>
      </c>
      <c r="W70" s="1" t="str">
        <f t="shared" si="9"/>
        <v>OK</v>
      </c>
    </row>
    <row r="71" spans="1:23">
      <c r="A71" s="1">
        <v>56689</v>
      </c>
      <c r="B71" s="10">
        <v>45690</v>
      </c>
      <c r="C71" s="1">
        <v>2</v>
      </c>
      <c r="D71" s="1" t="s">
        <v>57</v>
      </c>
      <c r="E71" s="1" t="s">
        <v>87</v>
      </c>
      <c r="F71" s="1" t="s">
        <v>79</v>
      </c>
      <c r="G71" s="1" t="s">
        <v>60</v>
      </c>
      <c r="H71" s="1" t="s">
        <v>61</v>
      </c>
      <c r="I71" s="1" t="s">
        <v>137</v>
      </c>
      <c r="J71" s="24">
        <v>3.75</v>
      </c>
      <c r="K71" s="24">
        <v>5.77</v>
      </c>
      <c r="L71" s="28">
        <v>2.02</v>
      </c>
      <c r="M71" s="1">
        <v>9</v>
      </c>
      <c r="N71" s="28">
        <v>51.929999999999993</v>
      </c>
      <c r="O71" s="29">
        <v>0</v>
      </c>
      <c r="P71" s="28">
        <v>0</v>
      </c>
      <c r="Q71" s="28">
        <v>51.929999999999993</v>
      </c>
      <c r="R71" s="1" t="str">
        <f t="shared" si="6"/>
        <v>Feb</v>
      </c>
      <c r="S71" s="28">
        <f t="shared" si="10"/>
        <v>33.75</v>
      </c>
      <c r="T71" s="28">
        <f t="shared" si="11"/>
        <v>18.179999999999993</v>
      </c>
      <c r="U71" s="11">
        <f t="shared" si="7"/>
        <v>0.35008665511265158</v>
      </c>
      <c r="V71" s="1" t="str">
        <f t="shared" si="8"/>
        <v>Fast</v>
      </c>
      <c r="W71" s="1" t="str">
        <f t="shared" si="9"/>
        <v>OK</v>
      </c>
    </row>
    <row r="72" spans="1:23">
      <c r="A72" s="1">
        <v>56690</v>
      </c>
      <c r="B72" s="10">
        <v>45690</v>
      </c>
      <c r="C72" s="1">
        <v>10</v>
      </c>
      <c r="D72" s="1" t="s">
        <v>57</v>
      </c>
      <c r="E72" s="1" t="s">
        <v>87</v>
      </c>
      <c r="F72" s="1" t="s">
        <v>84</v>
      </c>
      <c r="G72" s="1" t="s">
        <v>60</v>
      </c>
      <c r="H72" s="1" t="s">
        <v>65</v>
      </c>
      <c r="I72" s="1" t="s">
        <v>138</v>
      </c>
      <c r="J72" s="24">
        <v>1.92</v>
      </c>
      <c r="K72" s="24">
        <v>3.26</v>
      </c>
      <c r="L72" s="28">
        <v>1.34</v>
      </c>
      <c r="M72" s="1">
        <v>6</v>
      </c>
      <c r="N72" s="28">
        <v>19.559999999999999</v>
      </c>
      <c r="O72" s="29">
        <v>0.01</v>
      </c>
      <c r="P72" s="28">
        <v>0.1956</v>
      </c>
      <c r="Q72" s="28">
        <v>19.3644</v>
      </c>
      <c r="R72" s="1" t="str">
        <f t="shared" si="6"/>
        <v>Feb</v>
      </c>
      <c r="S72" s="28">
        <f t="shared" si="10"/>
        <v>11.52</v>
      </c>
      <c r="T72" s="28">
        <f t="shared" si="11"/>
        <v>7.8444000000000003</v>
      </c>
      <c r="U72" s="11">
        <f t="shared" si="7"/>
        <v>0.40509388362149101</v>
      </c>
      <c r="V72" s="1" t="str">
        <f t="shared" si="8"/>
        <v>Slow</v>
      </c>
      <c r="W72" s="1" t="str">
        <f t="shared" si="9"/>
        <v>OK</v>
      </c>
    </row>
    <row r="73" spans="1:23">
      <c r="A73" s="1">
        <v>56691</v>
      </c>
      <c r="B73" s="10">
        <v>45692</v>
      </c>
      <c r="C73" s="1">
        <v>15</v>
      </c>
      <c r="D73" s="1" t="s">
        <v>78</v>
      </c>
      <c r="E73" s="1" t="s">
        <v>87</v>
      </c>
      <c r="F73" s="1" t="s">
        <v>73</v>
      </c>
      <c r="G73" s="1" t="s">
        <v>81</v>
      </c>
      <c r="H73" s="1" t="s">
        <v>65</v>
      </c>
      <c r="I73" s="1" t="s">
        <v>139</v>
      </c>
      <c r="J73" s="24">
        <v>6.39</v>
      </c>
      <c r="K73" s="24">
        <v>19.98</v>
      </c>
      <c r="L73" s="28">
        <v>13.59</v>
      </c>
      <c r="M73" s="1">
        <v>16</v>
      </c>
      <c r="N73" s="28">
        <v>319.68</v>
      </c>
      <c r="O73" s="29">
        <v>0.04</v>
      </c>
      <c r="P73" s="28">
        <v>12.7872</v>
      </c>
      <c r="Q73" s="28">
        <v>306.89280000000002</v>
      </c>
      <c r="R73" s="1" t="str">
        <f t="shared" si="6"/>
        <v>Feb</v>
      </c>
      <c r="S73" s="28">
        <f t="shared" si="10"/>
        <v>102.24</v>
      </c>
      <c r="T73" s="28">
        <f t="shared" si="11"/>
        <v>204.65280000000001</v>
      </c>
      <c r="U73" s="11">
        <f t="shared" si="7"/>
        <v>0.66685435435435436</v>
      </c>
      <c r="V73" s="1" t="str">
        <f t="shared" si="8"/>
        <v>Very Slow</v>
      </c>
      <c r="W73" s="1" t="str">
        <f t="shared" si="9"/>
        <v>OK</v>
      </c>
    </row>
    <row r="74" spans="1:23">
      <c r="A74" s="1">
        <v>56692</v>
      </c>
      <c r="B74" s="10">
        <v>45692</v>
      </c>
      <c r="C74" s="1">
        <v>12</v>
      </c>
      <c r="D74" s="1" t="s">
        <v>63</v>
      </c>
      <c r="E74" s="1" t="s">
        <v>72</v>
      </c>
      <c r="F74" s="1" t="s">
        <v>73</v>
      </c>
      <c r="G74" s="1" t="s">
        <v>60</v>
      </c>
      <c r="H74" s="1" t="s">
        <v>65</v>
      </c>
      <c r="I74" s="1" t="s">
        <v>122</v>
      </c>
      <c r="J74" s="24">
        <v>14.95</v>
      </c>
      <c r="K74" s="24">
        <v>34.76</v>
      </c>
      <c r="L74" s="28">
        <v>19.809999999999999</v>
      </c>
      <c r="M74" s="1">
        <v>46</v>
      </c>
      <c r="N74" s="28">
        <v>1598.96</v>
      </c>
      <c r="O74" s="29">
        <v>0.09</v>
      </c>
      <c r="P74" s="28">
        <v>143.90639999999999</v>
      </c>
      <c r="Q74" s="28">
        <v>1455.0536</v>
      </c>
      <c r="R74" s="1" t="str">
        <f t="shared" si="6"/>
        <v>Feb</v>
      </c>
      <c r="S74" s="28">
        <f t="shared" si="10"/>
        <v>687.69999999999993</v>
      </c>
      <c r="T74" s="28">
        <f t="shared" si="11"/>
        <v>767.35360000000003</v>
      </c>
      <c r="U74" s="11">
        <f t="shared" si="7"/>
        <v>0.52737136281440078</v>
      </c>
      <c r="V74" s="1" t="str">
        <f t="shared" si="8"/>
        <v>Slow</v>
      </c>
      <c r="W74" s="1" t="str">
        <f t="shared" si="9"/>
        <v>OK</v>
      </c>
    </row>
    <row r="75" spans="1:23">
      <c r="A75" s="1">
        <v>56693</v>
      </c>
      <c r="B75" s="10">
        <v>45692</v>
      </c>
      <c r="C75" s="1">
        <v>2</v>
      </c>
      <c r="D75" s="1" t="s">
        <v>63</v>
      </c>
      <c r="E75" s="1" t="s">
        <v>58</v>
      </c>
      <c r="F75" s="1" t="s">
        <v>75</v>
      </c>
      <c r="G75" s="1" t="s">
        <v>60</v>
      </c>
      <c r="H75" s="1" t="s">
        <v>68</v>
      </c>
      <c r="I75" s="1" t="s">
        <v>140</v>
      </c>
      <c r="J75" s="24">
        <v>99.39</v>
      </c>
      <c r="K75" s="24">
        <v>162.93</v>
      </c>
      <c r="L75" s="28">
        <v>63.540000000000013</v>
      </c>
      <c r="M75" s="1">
        <v>47</v>
      </c>
      <c r="N75" s="28">
        <v>7657.71</v>
      </c>
      <c r="O75" s="29">
        <v>0.01</v>
      </c>
      <c r="P75" s="28">
        <v>76.577100000000002</v>
      </c>
      <c r="Q75" s="28">
        <v>7581.1328999999996</v>
      </c>
      <c r="R75" s="1" t="str">
        <f t="shared" si="6"/>
        <v>Feb</v>
      </c>
      <c r="S75" s="28">
        <f t="shared" si="10"/>
        <v>4671.33</v>
      </c>
      <c r="T75" s="28">
        <f t="shared" si="11"/>
        <v>2909.8028999999997</v>
      </c>
      <c r="U75" s="11">
        <f t="shared" si="7"/>
        <v>0.38382164491536613</v>
      </c>
      <c r="V75" s="1" t="str">
        <f t="shared" si="8"/>
        <v>Fast</v>
      </c>
      <c r="W75" s="1" t="str">
        <f t="shared" si="9"/>
        <v>OK</v>
      </c>
    </row>
    <row r="76" spans="1:23">
      <c r="A76" s="1">
        <v>56694</v>
      </c>
      <c r="B76" s="10">
        <v>45693</v>
      </c>
      <c r="C76" s="1">
        <v>11</v>
      </c>
      <c r="D76" s="1" t="s">
        <v>78</v>
      </c>
      <c r="E76" s="1" t="s">
        <v>58</v>
      </c>
      <c r="F76" s="1" t="s">
        <v>73</v>
      </c>
      <c r="G76" s="1" t="s">
        <v>60</v>
      </c>
      <c r="H76" s="1" t="s">
        <v>68</v>
      </c>
      <c r="I76" s="1" t="s">
        <v>141</v>
      </c>
      <c r="J76" s="24">
        <v>2.1800000000000002</v>
      </c>
      <c r="K76" s="24">
        <v>3.52</v>
      </c>
      <c r="L76" s="28">
        <v>1.34</v>
      </c>
      <c r="M76" s="1">
        <v>23</v>
      </c>
      <c r="N76" s="28">
        <v>80.959999999999994</v>
      </c>
      <c r="O76" s="29">
        <v>7.0000000000000007E-2</v>
      </c>
      <c r="P76" s="28">
        <v>5.6672000000000002</v>
      </c>
      <c r="Q76" s="28">
        <v>75.2928</v>
      </c>
      <c r="R76" s="1" t="str">
        <f t="shared" si="6"/>
        <v>Feb</v>
      </c>
      <c r="S76" s="28">
        <f t="shared" si="10"/>
        <v>50.14</v>
      </c>
      <c r="T76" s="28">
        <f t="shared" si="11"/>
        <v>25.152799999999999</v>
      </c>
      <c r="U76" s="11">
        <f t="shared" si="7"/>
        <v>0.33406647116324534</v>
      </c>
      <c r="V76" s="1" t="str">
        <f t="shared" si="8"/>
        <v>Slow</v>
      </c>
      <c r="W76" s="1" t="str">
        <f t="shared" si="9"/>
        <v>OK</v>
      </c>
    </row>
    <row r="77" spans="1:23">
      <c r="A77" s="1">
        <v>56695</v>
      </c>
      <c r="B77" s="10">
        <v>45693</v>
      </c>
      <c r="C77" s="1">
        <v>11</v>
      </c>
      <c r="D77" s="1" t="s">
        <v>57</v>
      </c>
      <c r="E77" s="1" t="s">
        <v>87</v>
      </c>
      <c r="F77" s="1" t="s">
        <v>64</v>
      </c>
      <c r="G77" s="1" t="s">
        <v>60</v>
      </c>
      <c r="H77" s="1" t="s">
        <v>65</v>
      </c>
      <c r="I77" s="1" t="s">
        <v>142</v>
      </c>
      <c r="J77" s="24">
        <v>2.29</v>
      </c>
      <c r="K77" s="24">
        <v>3.69</v>
      </c>
      <c r="L77" s="28">
        <v>1.4</v>
      </c>
      <c r="M77" s="1">
        <v>43</v>
      </c>
      <c r="N77" s="28">
        <v>158.66999999999999</v>
      </c>
      <c r="O77" s="29">
        <v>0.08</v>
      </c>
      <c r="P77" s="28">
        <v>12.6936</v>
      </c>
      <c r="Q77" s="28">
        <v>145.97640000000001</v>
      </c>
      <c r="R77" s="1" t="str">
        <f t="shared" si="6"/>
        <v>Feb</v>
      </c>
      <c r="S77" s="28">
        <f t="shared" si="10"/>
        <v>98.47</v>
      </c>
      <c r="T77" s="28">
        <f t="shared" si="11"/>
        <v>47.506400000000014</v>
      </c>
      <c r="U77" s="11">
        <f t="shared" si="7"/>
        <v>0.32543890656297875</v>
      </c>
      <c r="V77" s="1" t="str">
        <f t="shared" si="8"/>
        <v>Slow</v>
      </c>
      <c r="W77" s="1" t="str">
        <f t="shared" si="9"/>
        <v>OK</v>
      </c>
    </row>
    <row r="78" spans="1:23">
      <c r="A78" s="1">
        <v>56696</v>
      </c>
      <c r="B78" s="10">
        <v>45694</v>
      </c>
      <c r="C78" s="1">
        <v>3</v>
      </c>
      <c r="D78" s="1" t="s">
        <v>57</v>
      </c>
      <c r="E78" s="1" t="s">
        <v>87</v>
      </c>
      <c r="F78" s="1" t="s">
        <v>98</v>
      </c>
      <c r="G78" s="1" t="s">
        <v>60</v>
      </c>
      <c r="H78" s="1" t="s">
        <v>65</v>
      </c>
      <c r="I78" s="1" t="s">
        <v>134</v>
      </c>
      <c r="J78" s="24">
        <v>5.33</v>
      </c>
      <c r="K78" s="24">
        <v>8.6</v>
      </c>
      <c r="L78" s="28">
        <v>3.27</v>
      </c>
      <c r="M78" s="1">
        <v>20</v>
      </c>
      <c r="N78" s="28">
        <v>172</v>
      </c>
      <c r="O78" s="29">
        <v>0.02</v>
      </c>
      <c r="P78" s="28">
        <v>3.44</v>
      </c>
      <c r="Q78" s="28">
        <v>168.56</v>
      </c>
      <c r="R78" s="1" t="str">
        <f t="shared" si="6"/>
        <v>Feb</v>
      </c>
      <c r="S78" s="28">
        <f t="shared" si="10"/>
        <v>106.6</v>
      </c>
      <c r="T78" s="28">
        <f t="shared" si="11"/>
        <v>61.960000000000008</v>
      </c>
      <c r="U78" s="11">
        <f t="shared" si="7"/>
        <v>0.36758424299952541</v>
      </c>
      <c r="V78" s="1" t="str">
        <f t="shared" si="8"/>
        <v>Fast</v>
      </c>
      <c r="W78" s="1" t="str">
        <f t="shared" si="9"/>
        <v>OK</v>
      </c>
    </row>
    <row r="79" spans="1:23">
      <c r="A79" s="1">
        <v>56697</v>
      </c>
      <c r="B79" s="10">
        <v>45695</v>
      </c>
      <c r="C79" s="1">
        <v>10</v>
      </c>
      <c r="D79" s="1" t="s">
        <v>57</v>
      </c>
      <c r="E79" s="1" t="s">
        <v>72</v>
      </c>
      <c r="F79" s="1" t="s">
        <v>64</v>
      </c>
      <c r="G79" s="1" t="s">
        <v>60</v>
      </c>
      <c r="H79" s="1" t="s">
        <v>61</v>
      </c>
      <c r="I79" s="1" t="s">
        <v>118</v>
      </c>
      <c r="J79" s="24">
        <v>3.32</v>
      </c>
      <c r="K79" s="24">
        <v>5.18</v>
      </c>
      <c r="L79" s="28">
        <v>1.86</v>
      </c>
      <c r="M79" s="1">
        <v>23</v>
      </c>
      <c r="N79" s="28">
        <v>119.14</v>
      </c>
      <c r="O79" s="29">
        <v>0.1</v>
      </c>
      <c r="P79" s="28">
        <v>11.914</v>
      </c>
      <c r="Q79" s="28">
        <v>107.226</v>
      </c>
      <c r="R79" s="1" t="str">
        <f t="shared" si="6"/>
        <v>Feb</v>
      </c>
      <c r="S79" s="28">
        <f t="shared" si="10"/>
        <v>76.36</v>
      </c>
      <c r="T79" s="28">
        <f t="shared" si="11"/>
        <v>30.866</v>
      </c>
      <c r="U79" s="11">
        <f t="shared" si="7"/>
        <v>0.28785928785928788</v>
      </c>
      <c r="V79" s="1" t="str">
        <f t="shared" si="8"/>
        <v>Slow</v>
      </c>
      <c r="W79" s="1" t="str">
        <f t="shared" si="9"/>
        <v>OK</v>
      </c>
    </row>
    <row r="80" spans="1:23">
      <c r="A80" s="1">
        <v>56698</v>
      </c>
      <c r="B80" s="10">
        <v>45695</v>
      </c>
      <c r="C80" s="1">
        <v>18</v>
      </c>
      <c r="D80" s="1" t="s">
        <v>57</v>
      </c>
      <c r="E80" s="1" t="s">
        <v>87</v>
      </c>
      <c r="F80" s="1" t="s">
        <v>100</v>
      </c>
      <c r="G80" s="1" t="s">
        <v>60</v>
      </c>
      <c r="H80" s="1" t="s">
        <v>65</v>
      </c>
      <c r="I80" s="1" t="s">
        <v>80</v>
      </c>
      <c r="J80" s="24">
        <v>4.46</v>
      </c>
      <c r="K80" s="24">
        <v>10.89</v>
      </c>
      <c r="L80" s="28">
        <v>6.4300000000000006</v>
      </c>
      <c r="M80" s="1">
        <v>30</v>
      </c>
      <c r="N80" s="28">
        <v>326.7</v>
      </c>
      <c r="O80" s="29">
        <v>0.08</v>
      </c>
      <c r="P80" s="28">
        <v>26.135999999999999</v>
      </c>
      <c r="Q80" s="28">
        <v>300.56400000000002</v>
      </c>
      <c r="R80" s="1" t="str">
        <f t="shared" si="6"/>
        <v>Feb</v>
      </c>
      <c r="S80" s="28">
        <f t="shared" si="10"/>
        <v>133.80000000000001</v>
      </c>
      <c r="T80" s="28">
        <f t="shared" si="11"/>
        <v>166.76400000000001</v>
      </c>
      <c r="U80" s="11">
        <f t="shared" si="7"/>
        <v>0.55483690661556273</v>
      </c>
      <c r="V80" s="1" t="str">
        <f t="shared" si="8"/>
        <v>Very Slow</v>
      </c>
      <c r="W80" s="1" t="str">
        <f t="shared" si="9"/>
        <v>OK</v>
      </c>
    </row>
    <row r="81" spans="1:23">
      <c r="A81" s="1">
        <v>56699</v>
      </c>
      <c r="B81" s="10">
        <v>45696</v>
      </c>
      <c r="C81" s="1">
        <v>8</v>
      </c>
      <c r="D81" s="1" t="s">
        <v>78</v>
      </c>
      <c r="E81" s="1" t="s">
        <v>58</v>
      </c>
      <c r="F81" s="1" t="s">
        <v>64</v>
      </c>
      <c r="G81" s="1" t="s">
        <v>81</v>
      </c>
      <c r="H81" s="1" t="s">
        <v>90</v>
      </c>
      <c r="I81" s="1" t="s">
        <v>143</v>
      </c>
      <c r="J81" s="24">
        <v>42.11</v>
      </c>
      <c r="K81" s="24">
        <v>80.98</v>
      </c>
      <c r="L81" s="28">
        <v>38.869999999999997</v>
      </c>
      <c r="M81" s="1">
        <v>11</v>
      </c>
      <c r="N81" s="28">
        <v>890.78000000000009</v>
      </c>
      <c r="O81" s="29">
        <v>0.03</v>
      </c>
      <c r="P81" s="28">
        <v>26.723400000000002</v>
      </c>
      <c r="Q81" s="28">
        <v>864.05660000000012</v>
      </c>
      <c r="R81" s="1" t="str">
        <f t="shared" si="6"/>
        <v>Feb</v>
      </c>
      <c r="S81" s="28">
        <f t="shared" si="10"/>
        <v>463.21</v>
      </c>
      <c r="T81" s="28">
        <f t="shared" si="11"/>
        <v>400.84660000000014</v>
      </c>
      <c r="U81" s="11">
        <f t="shared" si="7"/>
        <v>0.46391243351419348</v>
      </c>
      <c r="V81" s="1" t="str">
        <f t="shared" si="8"/>
        <v>Slow</v>
      </c>
      <c r="W81" s="1" t="str">
        <f t="shared" si="9"/>
        <v>OK</v>
      </c>
    </row>
    <row r="82" spans="1:23">
      <c r="A82" s="1">
        <v>56700</v>
      </c>
      <c r="B82" s="10">
        <v>45698</v>
      </c>
      <c r="C82" s="1">
        <v>6</v>
      </c>
      <c r="D82" s="1" t="s">
        <v>57</v>
      </c>
      <c r="E82" s="1" t="s">
        <v>72</v>
      </c>
      <c r="F82" s="1" t="s">
        <v>83</v>
      </c>
      <c r="G82" s="1" t="s">
        <v>81</v>
      </c>
      <c r="H82" s="1" t="s">
        <v>61</v>
      </c>
      <c r="I82" s="1" t="s">
        <v>144</v>
      </c>
      <c r="J82" s="24">
        <v>19.78</v>
      </c>
      <c r="K82" s="24">
        <v>45.99</v>
      </c>
      <c r="L82" s="28">
        <v>26.21</v>
      </c>
      <c r="M82" s="1">
        <v>10</v>
      </c>
      <c r="N82" s="28">
        <v>459.9</v>
      </c>
      <c r="O82" s="29">
        <v>7.0000000000000007E-2</v>
      </c>
      <c r="P82" s="28">
        <v>32.192999999999998</v>
      </c>
      <c r="Q82" s="28">
        <v>427.70700000000011</v>
      </c>
      <c r="R82" s="1" t="str">
        <f t="shared" si="6"/>
        <v>Feb</v>
      </c>
      <c r="S82" s="28">
        <f t="shared" si="10"/>
        <v>197.8</v>
      </c>
      <c r="T82" s="28">
        <f t="shared" si="11"/>
        <v>229.9070000000001</v>
      </c>
      <c r="U82" s="11">
        <f t="shared" si="7"/>
        <v>0.53753387248747397</v>
      </c>
      <c r="V82" s="1" t="str">
        <f t="shared" si="8"/>
        <v>Standard</v>
      </c>
      <c r="W82" s="1" t="str">
        <f t="shared" si="9"/>
        <v>OK</v>
      </c>
    </row>
    <row r="83" spans="1:23">
      <c r="A83" s="1">
        <v>56701</v>
      </c>
      <c r="B83" s="10">
        <v>45699</v>
      </c>
      <c r="C83" s="1">
        <v>19</v>
      </c>
      <c r="D83" s="1" t="s">
        <v>57</v>
      </c>
      <c r="E83" s="1" t="s">
        <v>72</v>
      </c>
      <c r="F83" s="1" t="s">
        <v>73</v>
      </c>
      <c r="G83" s="1" t="s">
        <v>60</v>
      </c>
      <c r="H83" s="1" t="s">
        <v>68</v>
      </c>
      <c r="I83" s="1" t="s">
        <v>145</v>
      </c>
      <c r="J83" s="24">
        <v>0.92</v>
      </c>
      <c r="K83" s="24">
        <v>1.81</v>
      </c>
      <c r="L83" s="28">
        <v>0.89</v>
      </c>
      <c r="M83" s="1">
        <v>55</v>
      </c>
      <c r="N83" s="28">
        <v>99.55</v>
      </c>
      <c r="O83" s="29">
        <v>0.1</v>
      </c>
      <c r="P83" s="28">
        <v>9.9550000000000001</v>
      </c>
      <c r="Q83" s="28">
        <v>89.594999999999999</v>
      </c>
      <c r="R83" s="1" t="str">
        <f t="shared" si="6"/>
        <v>Feb</v>
      </c>
      <c r="S83" s="28">
        <f t="shared" si="10"/>
        <v>50.6</v>
      </c>
      <c r="T83" s="28">
        <f t="shared" si="11"/>
        <v>38.994999999999997</v>
      </c>
      <c r="U83" s="11">
        <f t="shared" si="7"/>
        <v>0.43523634131368938</v>
      </c>
      <c r="V83" s="1" t="str">
        <f t="shared" si="8"/>
        <v>Very Slow</v>
      </c>
      <c r="W83" s="1" t="str">
        <f t="shared" si="9"/>
        <v>OK</v>
      </c>
    </row>
    <row r="84" spans="1:23">
      <c r="A84" s="1">
        <v>56702</v>
      </c>
      <c r="B84" s="10">
        <v>45700</v>
      </c>
      <c r="C84" s="1">
        <v>22</v>
      </c>
      <c r="D84" s="1" t="s">
        <v>63</v>
      </c>
      <c r="E84" s="1" t="s">
        <v>67</v>
      </c>
      <c r="F84" s="1" t="s">
        <v>75</v>
      </c>
      <c r="G84" s="1" t="s">
        <v>60</v>
      </c>
      <c r="H84" s="1" t="s">
        <v>65</v>
      </c>
      <c r="I84" s="1" t="s">
        <v>123</v>
      </c>
      <c r="J84" s="24">
        <v>1.18</v>
      </c>
      <c r="K84" s="24">
        <v>1.88</v>
      </c>
      <c r="L84" s="28">
        <v>0.7</v>
      </c>
      <c r="M84" s="1">
        <v>35</v>
      </c>
      <c r="N84" s="28">
        <v>65.8</v>
      </c>
      <c r="O84" s="29">
        <v>7.0000000000000007E-2</v>
      </c>
      <c r="P84" s="28">
        <v>4.6059999999999999</v>
      </c>
      <c r="Q84" s="28">
        <v>61.194000000000003</v>
      </c>
      <c r="R84" s="1" t="str">
        <f t="shared" si="6"/>
        <v>Feb</v>
      </c>
      <c r="S84" s="28">
        <f t="shared" si="10"/>
        <v>41.3</v>
      </c>
      <c r="T84" s="28">
        <f t="shared" si="11"/>
        <v>19.894000000000005</v>
      </c>
      <c r="U84" s="11">
        <f t="shared" si="7"/>
        <v>0.32509723175474725</v>
      </c>
      <c r="V84" s="1" t="str">
        <f t="shared" si="8"/>
        <v>Very Slow</v>
      </c>
      <c r="W84" s="1" t="str">
        <f t="shared" si="9"/>
        <v>OK</v>
      </c>
    </row>
    <row r="85" spans="1:23">
      <c r="A85" s="1">
        <v>56703</v>
      </c>
      <c r="B85" s="10">
        <v>45700</v>
      </c>
      <c r="C85" s="1">
        <v>12</v>
      </c>
      <c r="D85" s="1" t="s">
        <v>57</v>
      </c>
      <c r="E85" s="1" t="s">
        <v>87</v>
      </c>
      <c r="F85" s="1" t="s">
        <v>18</v>
      </c>
      <c r="G85" s="1" t="s">
        <v>81</v>
      </c>
      <c r="H85" s="1" t="s">
        <v>65</v>
      </c>
      <c r="I85" s="1" t="s">
        <v>92</v>
      </c>
      <c r="J85" s="24">
        <v>39.64</v>
      </c>
      <c r="K85" s="24">
        <v>152.47999999999999</v>
      </c>
      <c r="L85" s="28">
        <v>112.84</v>
      </c>
      <c r="M85" s="1">
        <v>49</v>
      </c>
      <c r="N85" s="28">
        <v>7471.52</v>
      </c>
      <c r="O85" s="29">
        <v>7.0000000000000007E-2</v>
      </c>
      <c r="P85" s="28">
        <v>523.00639999999999</v>
      </c>
      <c r="Q85" s="28">
        <v>6948.5135999999993</v>
      </c>
      <c r="R85" s="1" t="str">
        <f t="shared" si="6"/>
        <v>Feb</v>
      </c>
      <c r="S85" s="28">
        <f t="shared" si="10"/>
        <v>1942.3600000000001</v>
      </c>
      <c r="T85" s="28">
        <f t="shared" si="11"/>
        <v>5006.1535999999996</v>
      </c>
      <c r="U85" s="11">
        <f t="shared" si="7"/>
        <v>0.72046395649279582</v>
      </c>
      <c r="V85" s="1" t="str">
        <f t="shared" si="8"/>
        <v>Slow</v>
      </c>
      <c r="W85" s="1" t="str">
        <f t="shared" si="9"/>
        <v>OK</v>
      </c>
    </row>
    <row r="86" spans="1:23">
      <c r="A86" s="1">
        <v>56704</v>
      </c>
      <c r="B86" s="10">
        <v>45700</v>
      </c>
      <c r="C86" s="1">
        <v>3</v>
      </c>
      <c r="D86" s="1" t="s">
        <v>57</v>
      </c>
      <c r="E86" s="1" t="s">
        <v>67</v>
      </c>
      <c r="F86" s="1" t="s">
        <v>59</v>
      </c>
      <c r="G86" s="1" t="s">
        <v>60</v>
      </c>
      <c r="H86" s="1" t="s">
        <v>68</v>
      </c>
      <c r="I86" s="1" t="s">
        <v>146</v>
      </c>
      <c r="J86" s="24">
        <v>3.14</v>
      </c>
      <c r="K86" s="24">
        <v>4.91</v>
      </c>
      <c r="L86" s="28">
        <v>1.77</v>
      </c>
      <c r="M86" s="1">
        <v>14</v>
      </c>
      <c r="N86" s="28">
        <v>68.740000000000009</v>
      </c>
      <c r="O86" s="29">
        <v>0.04</v>
      </c>
      <c r="P86" s="28">
        <v>2.7496</v>
      </c>
      <c r="Q86" s="28">
        <v>65.990400000000008</v>
      </c>
      <c r="R86" s="1" t="str">
        <f t="shared" si="6"/>
        <v>Feb</v>
      </c>
      <c r="S86" s="28">
        <f t="shared" si="10"/>
        <v>43.96</v>
      </c>
      <c r="T86" s="28">
        <f t="shared" si="11"/>
        <v>22.030400000000007</v>
      </c>
      <c r="U86" s="11">
        <f t="shared" si="7"/>
        <v>0.33384249830278351</v>
      </c>
      <c r="V86" s="1" t="str">
        <f t="shared" si="8"/>
        <v>Fast</v>
      </c>
      <c r="W86" s="1" t="str">
        <f t="shared" si="9"/>
        <v>OK</v>
      </c>
    </row>
    <row r="87" spans="1:23">
      <c r="A87" s="1">
        <v>56705</v>
      </c>
      <c r="B87" s="10">
        <v>45701</v>
      </c>
      <c r="C87" s="1">
        <v>10</v>
      </c>
      <c r="D87" s="1" t="s">
        <v>57</v>
      </c>
      <c r="E87" s="1" t="s">
        <v>87</v>
      </c>
      <c r="F87" s="1" t="s">
        <v>84</v>
      </c>
      <c r="G87" s="1" t="s">
        <v>81</v>
      </c>
      <c r="H87" s="1" t="s">
        <v>70</v>
      </c>
      <c r="I87" s="1" t="s">
        <v>147</v>
      </c>
      <c r="J87" s="24">
        <v>377.99</v>
      </c>
      <c r="K87" s="24">
        <v>599.99</v>
      </c>
      <c r="L87" s="28">
        <v>222</v>
      </c>
      <c r="M87" s="1">
        <v>20</v>
      </c>
      <c r="N87" s="28">
        <v>11999.8</v>
      </c>
      <c r="O87" s="29">
        <v>0.08</v>
      </c>
      <c r="P87" s="28">
        <v>959.98399999999992</v>
      </c>
      <c r="Q87" s="28">
        <v>11039.816000000001</v>
      </c>
      <c r="R87" s="1" t="str">
        <f t="shared" si="6"/>
        <v>Feb</v>
      </c>
      <c r="S87" s="28">
        <f t="shared" si="10"/>
        <v>7559.8</v>
      </c>
      <c r="T87" s="28">
        <f t="shared" si="11"/>
        <v>3480.0160000000005</v>
      </c>
      <c r="U87" s="11">
        <f t="shared" si="7"/>
        <v>0.3152240943146154</v>
      </c>
      <c r="V87" s="1" t="str">
        <f t="shared" si="8"/>
        <v>Slow</v>
      </c>
      <c r="W87" s="1" t="str">
        <f t="shared" si="9"/>
        <v>OK</v>
      </c>
    </row>
    <row r="88" spans="1:23">
      <c r="A88" s="1">
        <v>56706</v>
      </c>
      <c r="B88" s="10">
        <v>45701</v>
      </c>
      <c r="C88" s="1">
        <v>13</v>
      </c>
      <c r="D88" s="1" t="s">
        <v>57</v>
      </c>
      <c r="E88" s="1" t="s">
        <v>67</v>
      </c>
      <c r="F88" s="1" t="s">
        <v>73</v>
      </c>
      <c r="G88" s="1" t="s">
        <v>60</v>
      </c>
      <c r="H88" s="1" t="s">
        <v>90</v>
      </c>
      <c r="I88" s="1" t="s">
        <v>148</v>
      </c>
      <c r="J88" s="24">
        <v>1.0900000000000001</v>
      </c>
      <c r="K88" s="24">
        <v>1.68</v>
      </c>
      <c r="L88" s="28">
        <v>0.58999999999999986</v>
      </c>
      <c r="M88" s="1">
        <v>26</v>
      </c>
      <c r="N88" s="28">
        <v>43.68</v>
      </c>
      <c r="O88" s="29">
        <v>0.05</v>
      </c>
      <c r="P88" s="28">
        <v>2.1840000000000002</v>
      </c>
      <c r="Q88" s="28">
        <v>41.496000000000002</v>
      </c>
      <c r="R88" s="1" t="str">
        <f t="shared" si="6"/>
        <v>Feb</v>
      </c>
      <c r="S88" s="28">
        <f t="shared" si="10"/>
        <v>28.340000000000003</v>
      </c>
      <c r="T88" s="28">
        <f t="shared" si="11"/>
        <v>13.155999999999999</v>
      </c>
      <c r="U88" s="11">
        <f t="shared" si="7"/>
        <v>0.31704260651629068</v>
      </c>
      <c r="V88" s="1" t="str">
        <f t="shared" si="8"/>
        <v>Slow</v>
      </c>
      <c r="W88" s="1" t="str">
        <f t="shared" si="9"/>
        <v>OK</v>
      </c>
    </row>
    <row r="89" spans="1:23">
      <c r="A89" s="1">
        <v>56707</v>
      </c>
      <c r="B89" s="10">
        <v>45702</v>
      </c>
      <c r="C89" s="1">
        <v>23</v>
      </c>
      <c r="D89" s="1" t="s">
        <v>78</v>
      </c>
      <c r="E89" s="1" t="s">
        <v>67</v>
      </c>
      <c r="F89" s="1" t="s">
        <v>108</v>
      </c>
      <c r="G89" s="1" t="s">
        <v>81</v>
      </c>
      <c r="H89" s="1" t="s">
        <v>68</v>
      </c>
      <c r="I89" s="1" t="s">
        <v>110</v>
      </c>
      <c r="J89" s="24">
        <v>216</v>
      </c>
      <c r="K89" s="24">
        <v>449.99</v>
      </c>
      <c r="L89" s="28">
        <v>233.99</v>
      </c>
      <c r="M89" s="1">
        <v>12</v>
      </c>
      <c r="N89" s="28">
        <v>5399.88</v>
      </c>
      <c r="O89" s="29">
        <v>0.01</v>
      </c>
      <c r="P89" s="28">
        <v>53.998800000000003</v>
      </c>
      <c r="Q89" s="28">
        <v>5345.8811999999998</v>
      </c>
      <c r="R89" s="1" t="str">
        <f t="shared" si="6"/>
        <v>Feb</v>
      </c>
      <c r="S89" s="28">
        <f t="shared" si="10"/>
        <v>2592</v>
      </c>
      <c r="T89" s="28">
        <f t="shared" si="11"/>
        <v>2753.8811999999998</v>
      </c>
      <c r="U89" s="11">
        <f t="shared" si="7"/>
        <v>0.5151407405013041</v>
      </c>
      <c r="V89" s="1" t="str">
        <f t="shared" si="8"/>
        <v>Very Slow</v>
      </c>
      <c r="W89" s="1" t="str">
        <f t="shared" si="9"/>
        <v>OK</v>
      </c>
    </row>
    <row r="90" spans="1:23">
      <c r="A90" s="1">
        <v>56708</v>
      </c>
      <c r="B90" s="10">
        <v>45703</v>
      </c>
      <c r="C90" s="1">
        <v>3</v>
      </c>
      <c r="D90" s="1" t="s">
        <v>63</v>
      </c>
      <c r="E90" s="1" t="s">
        <v>67</v>
      </c>
      <c r="F90" s="1" t="s">
        <v>59</v>
      </c>
      <c r="G90" s="1" t="s">
        <v>60</v>
      </c>
      <c r="H90" s="1" t="s">
        <v>90</v>
      </c>
      <c r="I90" s="1" t="s">
        <v>97</v>
      </c>
      <c r="J90" s="24">
        <v>1.6</v>
      </c>
      <c r="K90" s="24">
        <v>2.62</v>
      </c>
      <c r="L90" s="28">
        <v>1.02</v>
      </c>
      <c r="M90" s="1">
        <v>41</v>
      </c>
      <c r="N90" s="28">
        <v>107.42</v>
      </c>
      <c r="O90" s="29">
        <v>0.01</v>
      </c>
      <c r="P90" s="28">
        <v>1.0742</v>
      </c>
      <c r="Q90" s="28">
        <v>106.3458</v>
      </c>
      <c r="R90" s="1" t="str">
        <f t="shared" si="6"/>
        <v>Feb</v>
      </c>
      <c r="S90" s="28">
        <f t="shared" si="10"/>
        <v>65.600000000000009</v>
      </c>
      <c r="T90" s="28">
        <f t="shared" si="11"/>
        <v>40.745799999999988</v>
      </c>
      <c r="U90" s="11">
        <f t="shared" si="7"/>
        <v>0.38314442131236015</v>
      </c>
      <c r="V90" s="1" t="str">
        <f t="shared" si="8"/>
        <v>Fast</v>
      </c>
      <c r="W90" s="1" t="str">
        <f t="shared" si="9"/>
        <v>OK</v>
      </c>
    </row>
    <row r="91" spans="1:23">
      <c r="A91" s="1">
        <v>56709</v>
      </c>
      <c r="B91" s="10">
        <v>45703</v>
      </c>
      <c r="C91" s="1">
        <v>10</v>
      </c>
      <c r="D91" s="1" t="s">
        <v>57</v>
      </c>
      <c r="E91" s="1" t="s">
        <v>67</v>
      </c>
      <c r="F91" s="1" t="s">
        <v>18</v>
      </c>
      <c r="G91" s="1" t="s">
        <v>60</v>
      </c>
      <c r="H91" s="1" t="s">
        <v>90</v>
      </c>
      <c r="I91" s="1" t="s">
        <v>149</v>
      </c>
      <c r="J91" s="24">
        <v>3.52</v>
      </c>
      <c r="K91" s="24">
        <v>5.68</v>
      </c>
      <c r="L91" s="28">
        <v>2.16</v>
      </c>
      <c r="M91" s="1">
        <v>51</v>
      </c>
      <c r="N91" s="28">
        <v>289.68</v>
      </c>
      <c r="O91" s="29">
        <v>0.05</v>
      </c>
      <c r="P91" s="28">
        <v>14.484</v>
      </c>
      <c r="Q91" s="28">
        <v>275.19600000000003</v>
      </c>
      <c r="R91" s="1" t="str">
        <f t="shared" si="6"/>
        <v>Feb</v>
      </c>
      <c r="S91" s="28">
        <f t="shared" si="10"/>
        <v>179.52</v>
      </c>
      <c r="T91" s="28">
        <f t="shared" si="11"/>
        <v>95.676000000000016</v>
      </c>
      <c r="U91" s="11">
        <f t="shared" si="7"/>
        <v>0.34766493699036327</v>
      </c>
      <c r="V91" s="1" t="str">
        <f t="shared" si="8"/>
        <v>Slow</v>
      </c>
      <c r="W91" s="1" t="str">
        <f t="shared" si="9"/>
        <v>OK</v>
      </c>
    </row>
    <row r="92" spans="1:23">
      <c r="A92" s="1">
        <v>56710</v>
      </c>
      <c r="B92" s="10">
        <v>45704</v>
      </c>
      <c r="C92" s="1">
        <v>21</v>
      </c>
      <c r="D92" s="1" t="s">
        <v>63</v>
      </c>
      <c r="E92" s="1" t="s">
        <v>67</v>
      </c>
      <c r="F92" s="1" t="s">
        <v>64</v>
      </c>
      <c r="G92" s="1" t="s">
        <v>81</v>
      </c>
      <c r="H92" s="1" t="s">
        <v>90</v>
      </c>
      <c r="I92" s="1" t="s">
        <v>150</v>
      </c>
      <c r="J92" s="24">
        <v>8.82</v>
      </c>
      <c r="K92" s="24">
        <v>20.99</v>
      </c>
      <c r="L92" s="28">
        <v>12.17</v>
      </c>
      <c r="M92" s="1">
        <v>33</v>
      </c>
      <c r="N92" s="28">
        <v>692.67</v>
      </c>
      <c r="O92" s="29">
        <v>0.03</v>
      </c>
      <c r="P92" s="28">
        <v>20.780100000000001</v>
      </c>
      <c r="Q92" s="28">
        <v>671.88990000000001</v>
      </c>
      <c r="R92" s="1" t="str">
        <f t="shared" si="6"/>
        <v>Feb</v>
      </c>
      <c r="S92" s="28">
        <f t="shared" si="10"/>
        <v>291.06</v>
      </c>
      <c r="T92" s="28">
        <f t="shared" si="11"/>
        <v>380.82990000000001</v>
      </c>
      <c r="U92" s="11">
        <f t="shared" si="7"/>
        <v>0.56680402548096054</v>
      </c>
      <c r="V92" s="1" t="str">
        <f t="shared" si="8"/>
        <v>Very Slow</v>
      </c>
      <c r="W92" s="1" t="str">
        <f t="shared" si="9"/>
        <v>OK</v>
      </c>
    </row>
    <row r="93" spans="1:23">
      <c r="A93" s="1">
        <v>56711</v>
      </c>
      <c r="B93" s="10">
        <v>45704</v>
      </c>
      <c r="C93" s="1">
        <v>16</v>
      </c>
      <c r="D93" s="1" t="s">
        <v>57</v>
      </c>
      <c r="E93" s="1" t="s">
        <v>67</v>
      </c>
      <c r="F93" s="1" t="s">
        <v>73</v>
      </c>
      <c r="G93" s="1" t="s">
        <v>60</v>
      </c>
      <c r="H93" s="1" t="s">
        <v>65</v>
      </c>
      <c r="I93" s="1" t="s">
        <v>123</v>
      </c>
      <c r="J93" s="24">
        <v>1.18</v>
      </c>
      <c r="K93" s="24">
        <v>1.88</v>
      </c>
      <c r="L93" s="28">
        <v>0.7</v>
      </c>
      <c r="M93" s="1">
        <v>1</v>
      </c>
      <c r="N93" s="28">
        <v>1.88</v>
      </c>
      <c r="O93" s="29">
        <v>0.09</v>
      </c>
      <c r="P93" s="28">
        <v>0.16919999999999999</v>
      </c>
      <c r="Q93" s="28">
        <v>1.7108000000000001</v>
      </c>
      <c r="R93" s="1" t="str">
        <f t="shared" si="6"/>
        <v>Feb</v>
      </c>
      <c r="S93" s="28">
        <f t="shared" si="10"/>
        <v>1.18</v>
      </c>
      <c r="T93" s="28">
        <f t="shared" si="11"/>
        <v>0.53080000000000016</v>
      </c>
      <c r="U93" s="11">
        <f t="shared" si="7"/>
        <v>0.31026420388122522</v>
      </c>
      <c r="V93" s="1" t="str">
        <f t="shared" si="8"/>
        <v>Very Slow</v>
      </c>
      <c r="W93" s="1" t="str">
        <f t="shared" si="9"/>
        <v>OK</v>
      </c>
    </row>
    <row r="94" spans="1:23">
      <c r="A94" s="1">
        <v>56712</v>
      </c>
      <c r="B94" s="10">
        <v>45704</v>
      </c>
      <c r="C94" s="1">
        <v>22</v>
      </c>
      <c r="D94" s="1" t="s">
        <v>78</v>
      </c>
      <c r="E94" s="1" t="s">
        <v>72</v>
      </c>
      <c r="F94" s="1" t="s">
        <v>98</v>
      </c>
      <c r="G94" s="1" t="s">
        <v>60</v>
      </c>
      <c r="H94" s="1" t="s">
        <v>70</v>
      </c>
      <c r="I94" s="1" t="s">
        <v>120</v>
      </c>
      <c r="J94" s="24">
        <v>16.8</v>
      </c>
      <c r="K94" s="24">
        <v>40.97</v>
      </c>
      <c r="L94" s="28">
        <v>24.17</v>
      </c>
      <c r="M94" s="1">
        <v>57</v>
      </c>
      <c r="N94" s="28">
        <v>2335.29</v>
      </c>
      <c r="O94" s="29">
        <v>0.1</v>
      </c>
      <c r="P94" s="28">
        <v>233.529</v>
      </c>
      <c r="Q94" s="28">
        <v>2101.761</v>
      </c>
      <c r="R94" s="1" t="str">
        <f t="shared" si="6"/>
        <v>Feb</v>
      </c>
      <c r="S94" s="28">
        <f t="shared" si="10"/>
        <v>957.6</v>
      </c>
      <c r="T94" s="28">
        <f t="shared" si="11"/>
        <v>1144.1610000000001</v>
      </c>
      <c r="U94" s="11">
        <f t="shared" si="7"/>
        <v>0.54438206817996915</v>
      </c>
      <c r="V94" s="1" t="str">
        <f t="shared" si="8"/>
        <v>Very Slow</v>
      </c>
      <c r="W94" s="1" t="str">
        <f t="shared" si="9"/>
        <v>OK</v>
      </c>
    </row>
    <row r="95" spans="1:23">
      <c r="A95" s="1">
        <v>56713</v>
      </c>
      <c r="B95" s="10">
        <v>45704</v>
      </c>
      <c r="C95" s="1">
        <v>16</v>
      </c>
      <c r="D95" s="1" t="s">
        <v>63</v>
      </c>
      <c r="E95" s="1" t="s">
        <v>67</v>
      </c>
      <c r="F95" s="1" t="s">
        <v>88</v>
      </c>
      <c r="G95" s="1" t="s">
        <v>60</v>
      </c>
      <c r="H95" s="1" t="s">
        <v>90</v>
      </c>
      <c r="I95" s="1" t="s">
        <v>122</v>
      </c>
      <c r="J95" s="24">
        <v>14.95</v>
      </c>
      <c r="K95" s="24">
        <v>34.76</v>
      </c>
      <c r="L95" s="28">
        <v>19.809999999999999</v>
      </c>
      <c r="M95" s="1">
        <v>9</v>
      </c>
      <c r="N95" s="28">
        <v>312.83999999999997</v>
      </c>
      <c r="O95" s="29">
        <v>0.03</v>
      </c>
      <c r="P95" s="28">
        <v>9.3851999999999993</v>
      </c>
      <c r="Q95" s="28">
        <v>303.45479999999998</v>
      </c>
      <c r="R95" s="1" t="str">
        <f t="shared" si="6"/>
        <v>Feb</v>
      </c>
      <c r="S95" s="28">
        <f t="shared" si="10"/>
        <v>134.54999999999998</v>
      </c>
      <c r="T95" s="28">
        <f t="shared" si="11"/>
        <v>168.90479999999999</v>
      </c>
      <c r="U95" s="11">
        <f t="shared" si="7"/>
        <v>0.55660612387742758</v>
      </c>
      <c r="V95" s="1" t="str">
        <f t="shared" si="8"/>
        <v>Very Slow</v>
      </c>
      <c r="W95" s="1" t="str">
        <f t="shared" si="9"/>
        <v>OK</v>
      </c>
    </row>
    <row r="96" spans="1:23">
      <c r="A96" s="1">
        <v>56714</v>
      </c>
      <c r="B96" s="10">
        <v>45704</v>
      </c>
      <c r="C96" s="1">
        <v>19</v>
      </c>
      <c r="D96" s="1" t="s">
        <v>57</v>
      </c>
      <c r="E96" s="1" t="s">
        <v>67</v>
      </c>
      <c r="F96" s="1" t="s">
        <v>88</v>
      </c>
      <c r="G96" s="1" t="s">
        <v>60</v>
      </c>
      <c r="H96" s="1" t="s">
        <v>90</v>
      </c>
      <c r="I96" s="1" t="s">
        <v>151</v>
      </c>
      <c r="J96" s="24">
        <v>2.31</v>
      </c>
      <c r="K96" s="24">
        <v>3.78</v>
      </c>
      <c r="L96" s="28">
        <v>1.47</v>
      </c>
      <c r="M96" s="1">
        <v>44</v>
      </c>
      <c r="N96" s="28">
        <v>166.32</v>
      </c>
      <c r="O96" s="29">
        <v>0.02</v>
      </c>
      <c r="P96" s="28">
        <v>3.3264</v>
      </c>
      <c r="Q96" s="28">
        <v>162.99359999999999</v>
      </c>
      <c r="R96" s="1" t="str">
        <f t="shared" si="6"/>
        <v>Feb</v>
      </c>
      <c r="S96" s="28">
        <f t="shared" si="10"/>
        <v>101.64</v>
      </c>
      <c r="T96" s="28">
        <f t="shared" si="11"/>
        <v>61.353599999999986</v>
      </c>
      <c r="U96" s="11">
        <f t="shared" si="7"/>
        <v>0.37641723356009066</v>
      </c>
      <c r="V96" s="1" t="str">
        <f t="shared" si="8"/>
        <v>Very Slow</v>
      </c>
      <c r="W96" s="1" t="str">
        <f t="shared" si="9"/>
        <v>OK</v>
      </c>
    </row>
    <row r="97" spans="1:23">
      <c r="A97" s="1">
        <v>56715</v>
      </c>
      <c r="B97" s="10">
        <v>45704</v>
      </c>
      <c r="C97" s="1">
        <v>18</v>
      </c>
      <c r="D97" s="1" t="s">
        <v>57</v>
      </c>
      <c r="E97" s="1" t="s">
        <v>72</v>
      </c>
      <c r="F97" s="1" t="s">
        <v>108</v>
      </c>
      <c r="G97" s="1" t="s">
        <v>60</v>
      </c>
      <c r="H97" s="1" t="s">
        <v>65</v>
      </c>
      <c r="I97" s="1" t="s">
        <v>152</v>
      </c>
      <c r="J97" s="24">
        <v>1.59</v>
      </c>
      <c r="K97" s="24">
        <v>2.61</v>
      </c>
      <c r="L97" s="28">
        <v>1.02</v>
      </c>
      <c r="M97" s="1">
        <v>42</v>
      </c>
      <c r="N97" s="28">
        <v>109.62</v>
      </c>
      <c r="O97" s="29">
        <v>0.09</v>
      </c>
      <c r="P97" s="28">
        <v>9.8657999999999983</v>
      </c>
      <c r="Q97" s="28">
        <v>99.754199999999997</v>
      </c>
      <c r="R97" s="1" t="str">
        <f t="shared" si="6"/>
        <v>Feb</v>
      </c>
      <c r="S97" s="28">
        <f t="shared" si="10"/>
        <v>66.78</v>
      </c>
      <c r="T97" s="28">
        <f t="shared" si="11"/>
        <v>32.974199999999996</v>
      </c>
      <c r="U97" s="11">
        <f t="shared" si="7"/>
        <v>0.33055450296829603</v>
      </c>
      <c r="V97" s="1" t="str">
        <f t="shared" si="8"/>
        <v>Very Slow</v>
      </c>
      <c r="W97" s="1" t="str">
        <f t="shared" si="9"/>
        <v>OK</v>
      </c>
    </row>
    <row r="98" spans="1:23">
      <c r="A98" s="1">
        <v>56716</v>
      </c>
      <c r="B98" s="10">
        <v>45704</v>
      </c>
      <c r="C98" s="1">
        <v>22</v>
      </c>
      <c r="D98" s="1" t="s">
        <v>63</v>
      </c>
      <c r="E98" s="1" t="s">
        <v>58</v>
      </c>
      <c r="F98" s="1" t="s">
        <v>100</v>
      </c>
      <c r="G98" s="1" t="s">
        <v>60</v>
      </c>
      <c r="H98" s="1" t="s">
        <v>70</v>
      </c>
      <c r="I98" s="1" t="s">
        <v>136</v>
      </c>
      <c r="J98" s="24">
        <v>18.38</v>
      </c>
      <c r="K98" s="24">
        <v>29.17</v>
      </c>
      <c r="L98" s="28">
        <v>10.79</v>
      </c>
      <c r="M98" s="1">
        <v>42</v>
      </c>
      <c r="N98" s="28">
        <v>1225.1400000000001</v>
      </c>
      <c r="O98" s="29">
        <v>0.09</v>
      </c>
      <c r="P98" s="28">
        <v>110.26260000000001</v>
      </c>
      <c r="Q98" s="28">
        <v>1114.8774000000001</v>
      </c>
      <c r="R98" s="1" t="str">
        <f t="shared" si="6"/>
        <v>Feb</v>
      </c>
      <c r="S98" s="28">
        <f t="shared" si="10"/>
        <v>771.95999999999992</v>
      </c>
      <c r="T98" s="28">
        <f t="shared" si="11"/>
        <v>342.91740000000016</v>
      </c>
      <c r="U98" s="11">
        <f t="shared" si="7"/>
        <v>0.30758305801158059</v>
      </c>
      <c r="V98" s="1" t="str">
        <f t="shared" si="8"/>
        <v>Very Slow</v>
      </c>
      <c r="W98" s="1" t="str">
        <f t="shared" si="9"/>
        <v>OK</v>
      </c>
    </row>
    <row r="99" spans="1:23">
      <c r="A99" s="1">
        <v>56717</v>
      </c>
      <c r="B99" s="10">
        <v>45705</v>
      </c>
      <c r="C99" s="1">
        <v>23</v>
      </c>
      <c r="D99" s="1" t="s">
        <v>57</v>
      </c>
      <c r="E99" s="1" t="s">
        <v>87</v>
      </c>
      <c r="F99" s="1" t="s">
        <v>75</v>
      </c>
      <c r="G99" s="1" t="s">
        <v>60</v>
      </c>
      <c r="H99" s="1" t="s">
        <v>90</v>
      </c>
      <c r="I99" s="1" t="s">
        <v>153</v>
      </c>
      <c r="J99" s="24">
        <v>7.13</v>
      </c>
      <c r="K99" s="24">
        <v>20.98</v>
      </c>
      <c r="L99" s="28">
        <v>13.85</v>
      </c>
      <c r="M99" s="1">
        <v>38</v>
      </c>
      <c r="N99" s="28">
        <v>797.24</v>
      </c>
      <c r="O99" s="29">
        <v>0.01</v>
      </c>
      <c r="P99" s="28">
        <v>7.9724000000000004</v>
      </c>
      <c r="Q99" s="28">
        <v>789.26760000000002</v>
      </c>
      <c r="R99" s="1" t="str">
        <f t="shared" si="6"/>
        <v>Feb</v>
      </c>
      <c r="S99" s="28">
        <f t="shared" si="10"/>
        <v>270.94</v>
      </c>
      <c r="T99" s="28">
        <f t="shared" si="11"/>
        <v>518.32760000000007</v>
      </c>
      <c r="U99" s="11">
        <f t="shared" si="7"/>
        <v>0.65671972344994278</v>
      </c>
      <c r="V99" s="1" t="str">
        <f t="shared" si="8"/>
        <v>Very Slow</v>
      </c>
      <c r="W99" s="1" t="str">
        <f t="shared" si="9"/>
        <v>OK</v>
      </c>
    </row>
    <row r="100" spans="1:23">
      <c r="A100" s="1">
        <v>56718</v>
      </c>
      <c r="B100" s="10">
        <v>45705</v>
      </c>
      <c r="C100" s="1">
        <v>2</v>
      </c>
      <c r="D100" s="1" t="s">
        <v>57</v>
      </c>
      <c r="E100" s="1" t="s">
        <v>67</v>
      </c>
      <c r="F100" s="1" t="s">
        <v>73</v>
      </c>
      <c r="G100" s="1" t="s">
        <v>60</v>
      </c>
      <c r="H100" s="1" t="s">
        <v>61</v>
      </c>
      <c r="I100" s="1" t="s">
        <v>154</v>
      </c>
      <c r="J100" s="24">
        <v>22.18</v>
      </c>
      <c r="K100" s="24">
        <v>54.1</v>
      </c>
      <c r="L100" s="28">
        <v>31.92</v>
      </c>
      <c r="M100" s="1">
        <v>5</v>
      </c>
      <c r="N100" s="28">
        <v>270.5</v>
      </c>
      <c r="O100" s="29">
        <v>0.04</v>
      </c>
      <c r="P100" s="28">
        <v>10.82</v>
      </c>
      <c r="Q100" s="28">
        <v>259.68</v>
      </c>
      <c r="R100" s="1" t="str">
        <f t="shared" si="6"/>
        <v>Feb</v>
      </c>
      <c r="S100" s="28">
        <f t="shared" si="10"/>
        <v>110.9</v>
      </c>
      <c r="T100" s="28">
        <f t="shared" si="11"/>
        <v>148.78</v>
      </c>
      <c r="U100" s="11">
        <f t="shared" si="7"/>
        <v>0.57293592113370306</v>
      </c>
      <c r="V100" s="1" t="str">
        <f t="shared" si="8"/>
        <v>Fast</v>
      </c>
      <c r="W100" s="1" t="str">
        <f t="shared" si="9"/>
        <v>OK</v>
      </c>
    </row>
    <row r="101" spans="1:23">
      <c r="A101" s="1">
        <v>56719</v>
      </c>
      <c r="B101" s="10">
        <v>45706</v>
      </c>
      <c r="C101" s="1">
        <v>11</v>
      </c>
      <c r="D101" s="1" t="s">
        <v>57</v>
      </c>
      <c r="E101" s="1" t="s">
        <v>87</v>
      </c>
      <c r="F101" s="1" t="s">
        <v>98</v>
      </c>
      <c r="G101" s="1" t="s">
        <v>60</v>
      </c>
      <c r="H101" s="1" t="s">
        <v>68</v>
      </c>
      <c r="I101" s="1" t="s">
        <v>155</v>
      </c>
      <c r="J101" s="24">
        <v>2.39</v>
      </c>
      <c r="K101" s="24">
        <v>4.26</v>
      </c>
      <c r="L101" s="28">
        <v>1.87</v>
      </c>
      <c r="M101" s="1">
        <v>24</v>
      </c>
      <c r="N101" s="28">
        <v>102.24</v>
      </c>
      <c r="O101" s="29">
        <v>0.1</v>
      </c>
      <c r="P101" s="28">
        <v>10.224</v>
      </c>
      <c r="Q101" s="28">
        <v>92.015999999999991</v>
      </c>
      <c r="R101" s="1" t="str">
        <f t="shared" si="6"/>
        <v>Feb</v>
      </c>
      <c r="S101" s="28">
        <f t="shared" si="10"/>
        <v>57.36</v>
      </c>
      <c r="T101" s="28">
        <f t="shared" si="11"/>
        <v>34.655999999999992</v>
      </c>
      <c r="U101" s="11">
        <f t="shared" si="7"/>
        <v>0.37663015127803856</v>
      </c>
      <c r="V101" s="1" t="str">
        <f t="shared" si="8"/>
        <v>Slow</v>
      </c>
      <c r="W101" s="1" t="str">
        <f t="shared" si="9"/>
        <v>OK</v>
      </c>
    </row>
    <row r="102" spans="1:23">
      <c r="A102" s="1">
        <v>56720</v>
      </c>
      <c r="B102" s="10">
        <v>45706</v>
      </c>
      <c r="C102" s="1">
        <v>20</v>
      </c>
      <c r="D102" s="1" t="s">
        <v>78</v>
      </c>
      <c r="E102" s="1" t="s">
        <v>58</v>
      </c>
      <c r="F102" s="1" t="s">
        <v>79</v>
      </c>
      <c r="G102" s="1" t="s">
        <v>81</v>
      </c>
      <c r="H102" s="1" t="s">
        <v>61</v>
      </c>
      <c r="I102" s="1" t="s">
        <v>156</v>
      </c>
      <c r="J102" s="24">
        <v>60.59</v>
      </c>
      <c r="K102" s="24">
        <v>100.98</v>
      </c>
      <c r="L102" s="28">
        <v>40.39</v>
      </c>
      <c r="M102" s="1">
        <v>1</v>
      </c>
      <c r="N102" s="28">
        <v>100.98</v>
      </c>
      <c r="O102" s="29">
        <v>0.1</v>
      </c>
      <c r="P102" s="28">
        <v>10.098000000000001</v>
      </c>
      <c r="Q102" s="28">
        <v>90.882000000000005</v>
      </c>
      <c r="R102" s="1" t="str">
        <f t="shared" si="6"/>
        <v>Feb</v>
      </c>
      <c r="S102" s="28">
        <f t="shared" si="10"/>
        <v>60.59</v>
      </c>
      <c r="T102" s="28">
        <f t="shared" si="11"/>
        <v>30.292000000000002</v>
      </c>
      <c r="U102" s="11">
        <f t="shared" si="7"/>
        <v>0.33331132677537906</v>
      </c>
      <c r="V102" s="1" t="str">
        <f t="shared" si="8"/>
        <v>Very Slow</v>
      </c>
      <c r="W102" s="1" t="str">
        <f t="shared" si="9"/>
        <v>OK</v>
      </c>
    </row>
    <row r="103" spans="1:23">
      <c r="A103" s="1">
        <v>56721</v>
      </c>
      <c r="B103" s="10">
        <v>45707</v>
      </c>
      <c r="C103" s="1">
        <v>22</v>
      </c>
      <c r="D103" s="1" t="s">
        <v>78</v>
      </c>
      <c r="E103" s="1" t="s">
        <v>67</v>
      </c>
      <c r="F103" s="1" t="s">
        <v>79</v>
      </c>
      <c r="G103" s="1" t="s">
        <v>60</v>
      </c>
      <c r="H103" s="1" t="s">
        <v>90</v>
      </c>
      <c r="I103" s="1" t="s">
        <v>157</v>
      </c>
      <c r="J103" s="24">
        <v>4.53</v>
      </c>
      <c r="K103" s="24">
        <v>7.3</v>
      </c>
      <c r="L103" s="28">
        <v>2.77</v>
      </c>
      <c r="M103" s="1">
        <v>44</v>
      </c>
      <c r="N103" s="28">
        <v>321.2</v>
      </c>
      <c r="O103" s="29">
        <v>0.05</v>
      </c>
      <c r="P103" s="28">
        <v>16.059999999999999</v>
      </c>
      <c r="Q103" s="28">
        <v>305.14</v>
      </c>
      <c r="R103" s="1" t="str">
        <f t="shared" si="6"/>
        <v>Feb</v>
      </c>
      <c r="S103" s="28">
        <f t="shared" si="10"/>
        <v>199.32000000000002</v>
      </c>
      <c r="T103" s="28">
        <f t="shared" si="11"/>
        <v>105.81999999999996</v>
      </c>
      <c r="U103" s="11">
        <f t="shared" si="7"/>
        <v>0.34679163662581103</v>
      </c>
      <c r="V103" s="1" t="str">
        <f t="shared" si="8"/>
        <v>Very Slow</v>
      </c>
      <c r="W103" s="1" t="str">
        <f t="shared" si="9"/>
        <v>OK</v>
      </c>
    </row>
    <row r="104" spans="1:23">
      <c r="A104" s="1">
        <v>56722</v>
      </c>
      <c r="B104" s="10">
        <v>45707</v>
      </c>
      <c r="C104" s="1">
        <v>10</v>
      </c>
      <c r="D104" s="1" t="s">
        <v>63</v>
      </c>
      <c r="E104" s="1" t="s">
        <v>87</v>
      </c>
      <c r="F104" s="1" t="s">
        <v>79</v>
      </c>
      <c r="G104" s="1" t="s">
        <v>60</v>
      </c>
      <c r="H104" s="1" t="s">
        <v>68</v>
      </c>
      <c r="I104" s="1" t="s">
        <v>142</v>
      </c>
      <c r="J104" s="24">
        <v>2.29</v>
      </c>
      <c r="K104" s="24">
        <v>3.69</v>
      </c>
      <c r="L104" s="28">
        <v>1.4</v>
      </c>
      <c r="M104" s="1">
        <v>43</v>
      </c>
      <c r="N104" s="28">
        <v>158.66999999999999</v>
      </c>
      <c r="O104" s="29">
        <v>0.01</v>
      </c>
      <c r="P104" s="28">
        <v>1.5867</v>
      </c>
      <c r="Q104" s="28">
        <v>157.08330000000001</v>
      </c>
      <c r="R104" s="1" t="str">
        <f t="shared" si="6"/>
        <v>Feb</v>
      </c>
      <c r="S104" s="28">
        <f t="shared" si="10"/>
        <v>98.47</v>
      </c>
      <c r="T104" s="28">
        <f t="shared" si="11"/>
        <v>58.61330000000001</v>
      </c>
      <c r="U104" s="11">
        <f t="shared" si="7"/>
        <v>0.37313514549286914</v>
      </c>
      <c r="V104" s="1" t="str">
        <f t="shared" si="8"/>
        <v>Slow</v>
      </c>
      <c r="W104" s="1" t="str">
        <f t="shared" si="9"/>
        <v>OK</v>
      </c>
    </row>
    <row r="105" spans="1:23">
      <c r="A105" s="1">
        <v>56723</v>
      </c>
      <c r="B105" s="10">
        <v>45707</v>
      </c>
      <c r="C105" s="1">
        <v>1</v>
      </c>
      <c r="D105" s="1" t="s">
        <v>57</v>
      </c>
      <c r="E105" s="1" t="s">
        <v>72</v>
      </c>
      <c r="F105" s="1" t="s">
        <v>79</v>
      </c>
      <c r="G105" s="1" t="s">
        <v>60</v>
      </c>
      <c r="H105" s="1" t="s">
        <v>90</v>
      </c>
      <c r="I105" s="1" t="s">
        <v>117</v>
      </c>
      <c r="J105" s="24">
        <v>4.37</v>
      </c>
      <c r="K105" s="24">
        <v>9.11</v>
      </c>
      <c r="L105" s="28">
        <v>4.7399999999999993</v>
      </c>
      <c r="M105" s="1">
        <v>18</v>
      </c>
      <c r="N105" s="28">
        <v>163.98</v>
      </c>
      <c r="O105" s="29">
        <v>0.03</v>
      </c>
      <c r="P105" s="28">
        <v>4.9194000000000004</v>
      </c>
      <c r="Q105" s="28">
        <v>159.06059999999999</v>
      </c>
      <c r="R105" s="1" t="str">
        <f t="shared" si="6"/>
        <v>Feb</v>
      </c>
      <c r="S105" s="28">
        <f t="shared" si="10"/>
        <v>78.66</v>
      </c>
      <c r="T105" s="28">
        <f t="shared" si="11"/>
        <v>80.400599999999997</v>
      </c>
      <c r="U105" s="11">
        <f t="shared" si="7"/>
        <v>0.50547149954168413</v>
      </c>
      <c r="V105" s="1" t="str">
        <f t="shared" si="8"/>
        <v>Fast</v>
      </c>
      <c r="W105" s="1" t="str">
        <f t="shared" si="9"/>
        <v>OK</v>
      </c>
    </row>
    <row r="106" spans="1:23">
      <c r="A106" s="1">
        <v>56724</v>
      </c>
      <c r="B106" s="10">
        <v>45707</v>
      </c>
      <c r="C106" s="1">
        <v>18</v>
      </c>
      <c r="D106" s="1" t="s">
        <v>57</v>
      </c>
      <c r="E106" s="1" t="s">
        <v>67</v>
      </c>
      <c r="F106" s="1" t="s">
        <v>88</v>
      </c>
      <c r="G106" s="1" t="s">
        <v>60</v>
      </c>
      <c r="H106" s="1" t="s">
        <v>61</v>
      </c>
      <c r="I106" s="1" t="s">
        <v>125</v>
      </c>
      <c r="J106" s="24">
        <v>1.82</v>
      </c>
      <c r="K106" s="24">
        <v>2.84</v>
      </c>
      <c r="L106" s="28">
        <v>1.02</v>
      </c>
      <c r="M106" s="1">
        <v>29</v>
      </c>
      <c r="N106" s="28">
        <v>82.36</v>
      </c>
      <c r="O106" s="29">
        <v>0.03</v>
      </c>
      <c r="P106" s="28">
        <v>2.4708000000000001</v>
      </c>
      <c r="Q106" s="28">
        <v>79.889200000000002</v>
      </c>
      <c r="R106" s="1" t="str">
        <f t="shared" si="6"/>
        <v>Feb</v>
      </c>
      <c r="S106" s="28">
        <f t="shared" si="10"/>
        <v>52.78</v>
      </c>
      <c r="T106" s="28">
        <f t="shared" si="11"/>
        <v>27.109200000000001</v>
      </c>
      <c r="U106" s="11">
        <f t="shared" si="7"/>
        <v>0.33933497894583997</v>
      </c>
      <c r="V106" s="1" t="str">
        <f t="shared" si="8"/>
        <v>Very Slow</v>
      </c>
      <c r="W106" s="1" t="str">
        <f t="shared" si="9"/>
        <v>OK</v>
      </c>
    </row>
    <row r="107" spans="1:23">
      <c r="A107" s="1">
        <v>56725</v>
      </c>
      <c r="B107" s="10">
        <v>45707</v>
      </c>
      <c r="C107" s="1">
        <v>7</v>
      </c>
      <c r="D107" s="1" t="s">
        <v>57</v>
      </c>
      <c r="E107" s="1" t="s">
        <v>72</v>
      </c>
      <c r="F107" s="1" t="s">
        <v>79</v>
      </c>
      <c r="G107" s="1" t="s">
        <v>60</v>
      </c>
      <c r="H107" s="1" t="s">
        <v>90</v>
      </c>
      <c r="I107" s="1" t="s">
        <v>158</v>
      </c>
      <c r="J107" s="24">
        <v>4.0999999999999996</v>
      </c>
      <c r="K107" s="24">
        <v>9.31</v>
      </c>
      <c r="L107" s="28">
        <v>5.2100000000000009</v>
      </c>
      <c r="M107" s="1">
        <v>22</v>
      </c>
      <c r="N107" s="28">
        <v>204.82</v>
      </c>
      <c r="O107" s="29">
        <v>0.01</v>
      </c>
      <c r="P107" s="28">
        <v>2.0482</v>
      </c>
      <c r="Q107" s="28">
        <v>202.77180000000001</v>
      </c>
      <c r="R107" s="1" t="str">
        <f t="shared" si="6"/>
        <v>Feb</v>
      </c>
      <c r="S107" s="28">
        <f t="shared" si="10"/>
        <v>90.199999999999989</v>
      </c>
      <c r="T107" s="28">
        <f t="shared" si="11"/>
        <v>112.57180000000002</v>
      </c>
      <c r="U107" s="11">
        <f t="shared" si="7"/>
        <v>0.55516496869880338</v>
      </c>
      <c r="V107" s="1" t="str">
        <f t="shared" si="8"/>
        <v>Standard</v>
      </c>
      <c r="W107" s="1" t="str">
        <f t="shared" si="9"/>
        <v>OK</v>
      </c>
    </row>
    <row r="108" spans="1:23">
      <c r="A108" s="1">
        <v>56726</v>
      </c>
      <c r="B108" s="10">
        <v>45707</v>
      </c>
      <c r="C108" s="1">
        <v>19</v>
      </c>
      <c r="D108" s="1" t="s">
        <v>57</v>
      </c>
      <c r="E108" s="1" t="s">
        <v>87</v>
      </c>
      <c r="F108" s="1" t="s">
        <v>59</v>
      </c>
      <c r="G108" s="1" t="s">
        <v>60</v>
      </c>
      <c r="H108" s="1" t="s">
        <v>70</v>
      </c>
      <c r="I108" s="1" t="s">
        <v>159</v>
      </c>
      <c r="J108" s="24">
        <v>13.64</v>
      </c>
      <c r="K108" s="24">
        <v>20.98</v>
      </c>
      <c r="L108" s="28">
        <v>7.34</v>
      </c>
      <c r="M108" s="1">
        <v>24</v>
      </c>
      <c r="N108" s="28">
        <v>503.52</v>
      </c>
      <c r="O108" s="29">
        <v>0.03</v>
      </c>
      <c r="P108" s="28">
        <v>15.105600000000001</v>
      </c>
      <c r="Q108" s="28">
        <v>488.4144</v>
      </c>
      <c r="R108" s="1" t="str">
        <f t="shared" si="6"/>
        <v>Feb</v>
      </c>
      <c r="S108" s="28">
        <f t="shared" si="10"/>
        <v>327.36</v>
      </c>
      <c r="T108" s="28">
        <f t="shared" si="11"/>
        <v>161.05439999999999</v>
      </c>
      <c r="U108" s="11">
        <f t="shared" si="7"/>
        <v>0.32974949141548648</v>
      </c>
      <c r="V108" s="1" t="str">
        <f t="shared" si="8"/>
        <v>Very Slow</v>
      </c>
      <c r="W108" s="1" t="str">
        <f t="shared" si="9"/>
        <v>OK</v>
      </c>
    </row>
    <row r="109" spans="1:23">
      <c r="A109" s="1">
        <v>56727</v>
      </c>
      <c r="B109" s="10">
        <v>45709</v>
      </c>
      <c r="C109" s="1">
        <v>15</v>
      </c>
      <c r="D109" s="1" t="s">
        <v>78</v>
      </c>
      <c r="E109" s="1" t="s">
        <v>72</v>
      </c>
      <c r="F109" s="1" t="s">
        <v>88</v>
      </c>
      <c r="G109" s="1" t="s">
        <v>81</v>
      </c>
      <c r="H109" s="1" t="s">
        <v>61</v>
      </c>
      <c r="I109" s="1" t="s">
        <v>160</v>
      </c>
      <c r="J109" s="24">
        <v>14.7</v>
      </c>
      <c r="K109" s="24">
        <v>29.99</v>
      </c>
      <c r="L109" s="28">
        <v>15.29</v>
      </c>
      <c r="M109" s="1">
        <v>13</v>
      </c>
      <c r="N109" s="28">
        <v>389.87</v>
      </c>
      <c r="O109" s="29">
        <v>0.04</v>
      </c>
      <c r="P109" s="28">
        <v>15.594799999999999</v>
      </c>
      <c r="Q109" s="28">
        <v>374.27519999999998</v>
      </c>
      <c r="R109" s="1" t="str">
        <f t="shared" si="6"/>
        <v>Feb</v>
      </c>
      <c r="S109" s="28">
        <f t="shared" si="10"/>
        <v>191.1</v>
      </c>
      <c r="T109" s="28">
        <f t="shared" si="11"/>
        <v>183.17519999999999</v>
      </c>
      <c r="U109" s="11">
        <f t="shared" si="7"/>
        <v>0.48941313771257083</v>
      </c>
      <c r="V109" s="1" t="str">
        <f t="shared" si="8"/>
        <v>Very Slow</v>
      </c>
      <c r="W109" s="1" t="str">
        <f t="shared" si="9"/>
        <v>OK</v>
      </c>
    </row>
    <row r="110" spans="1:23">
      <c r="A110" s="1">
        <v>56728</v>
      </c>
      <c r="B110" s="10">
        <v>45709</v>
      </c>
      <c r="C110" s="1">
        <v>12</v>
      </c>
      <c r="D110" s="1" t="s">
        <v>57</v>
      </c>
      <c r="E110" s="1" t="s">
        <v>72</v>
      </c>
      <c r="F110" s="1" t="s">
        <v>59</v>
      </c>
      <c r="G110" s="1" t="s">
        <v>60</v>
      </c>
      <c r="H110" s="1" t="s">
        <v>61</v>
      </c>
      <c r="I110" s="1" t="s">
        <v>161</v>
      </c>
      <c r="J110" s="24">
        <v>2.87</v>
      </c>
      <c r="K110" s="24">
        <v>6.84</v>
      </c>
      <c r="L110" s="28">
        <v>3.97</v>
      </c>
      <c r="M110" s="1">
        <v>32</v>
      </c>
      <c r="N110" s="28">
        <v>218.88</v>
      </c>
      <c r="O110" s="29">
        <v>0.01</v>
      </c>
      <c r="P110" s="28">
        <v>2.1888000000000001</v>
      </c>
      <c r="Q110" s="28">
        <v>216.69120000000001</v>
      </c>
      <c r="R110" s="1" t="str">
        <f t="shared" si="6"/>
        <v>Feb</v>
      </c>
      <c r="S110" s="28">
        <f t="shared" si="10"/>
        <v>91.84</v>
      </c>
      <c r="T110" s="28">
        <f t="shared" si="11"/>
        <v>124.85120000000001</v>
      </c>
      <c r="U110" s="11">
        <f t="shared" si="7"/>
        <v>0.57617106739913759</v>
      </c>
      <c r="V110" s="1" t="str">
        <f t="shared" si="8"/>
        <v>Slow</v>
      </c>
      <c r="W110" s="1" t="str">
        <f t="shared" si="9"/>
        <v>OK</v>
      </c>
    </row>
    <row r="111" spans="1:23">
      <c r="A111" s="1">
        <v>56729</v>
      </c>
      <c r="B111" s="10">
        <v>45710</v>
      </c>
      <c r="C111" s="1">
        <v>15</v>
      </c>
      <c r="D111" s="1" t="s">
        <v>78</v>
      </c>
      <c r="E111" s="1" t="s">
        <v>58</v>
      </c>
      <c r="F111" s="1" t="s">
        <v>73</v>
      </c>
      <c r="G111" s="1" t="s">
        <v>81</v>
      </c>
      <c r="H111" s="1" t="s">
        <v>70</v>
      </c>
      <c r="I111" s="1" t="s">
        <v>144</v>
      </c>
      <c r="J111" s="24">
        <v>19.78</v>
      </c>
      <c r="K111" s="24">
        <v>45.99</v>
      </c>
      <c r="L111" s="28">
        <v>26.21</v>
      </c>
      <c r="M111" s="1">
        <v>49</v>
      </c>
      <c r="N111" s="28">
        <v>2253.5100000000002</v>
      </c>
      <c r="O111" s="29">
        <v>0</v>
      </c>
      <c r="P111" s="28">
        <v>0</v>
      </c>
      <c r="Q111" s="28">
        <v>2253.5100000000002</v>
      </c>
      <c r="R111" s="1" t="str">
        <f t="shared" si="6"/>
        <v>Feb</v>
      </c>
      <c r="S111" s="28">
        <f t="shared" si="10"/>
        <v>969.22</v>
      </c>
      <c r="T111" s="28">
        <f t="shared" si="11"/>
        <v>1284.2900000000002</v>
      </c>
      <c r="U111" s="11">
        <f t="shared" si="7"/>
        <v>0.56990650141335075</v>
      </c>
      <c r="V111" s="1" t="str">
        <f t="shared" si="8"/>
        <v>Very Slow</v>
      </c>
      <c r="W111" s="1" t="str">
        <f t="shared" si="9"/>
        <v>OK</v>
      </c>
    </row>
    <row r="112" spans="1:23">
      <c r="A112" s="1">
        <v>56730</v>
      </c>
      <c r="B112" s="10">
        <v>45710</v>
      </c>
      <c r="C112" s="1">
        <v>19</v>
      </c>
      <c r="D112" s="1" t="s">
        <v>78</v>
      </c>
      <c r="E112" s="1" t="s">
        <v>72</v>
      </c>
      <c r="F112" s="1" t="s">
        <v>108</v>
      </c>
      <c r="G112" s="1" t="s">
        <v>60</v>
      </c>
      <c r="H112" s="1" t="s">
        <v>68</v>
      </c>
      <c r="I112" s="1" t="s">
        <v>162</v>
      </c>
      <c r="J112" s="24">
        <v>2.68</v>
      </c>
      <c r="K112" s="24">
        <v>6.08</v>
      </c>
      <c r="L112" s="28">
        <v>3.4</v>
      </c>
      <c r="M112" s="1">
        <v>30</v>
      </c>
      <c r="N112" s="28">
        <v>182.4</v>
      </c>
      <c r="O112" s="29">
        <v>0.04</v>
      </c>
      <c r="P112" s="28">
        <v>7.2960000000000003</v>
      </c>
      <c r="Q112" s="28">
        <v>175.10400000000001</v>
      </c>
      <c r="R112" s="1" t="str">
        <f t="shared" si="6"/>
        <v>Feb</v>
      </c>
      <c r="S112" s="28">
        <f t="shared" si="10"/>
        <v>80.400000000000006</v>
      </c>
      <c r="T112" s="28">
        <f t="shared" si="11"/>
        <v>94.704000000000008</v>
      </c>
      <c r="U112" s="11">
        <f t="shared" si="7"/>
        <v>0.54084429824561409</v>
      </c>
      <c r="V112" s="1" t="str">
        <f t="shared" si="8"/>
        <v>Very Slow</v>
      </c>
      <c r="W112" s="1" t="str">
        <f t="shared" si="9"/>
        <v>OK</v>
      </c>
    </row>
    <row r="113" spans="1:23">
      <c r="A113" s="1">
        <v>56731</v>
      </c>
      <c r="B113" s="10">
        <v>45712</v>
      </c>
      <c r="C113" s="1">
        <v>3</v>
      </c>
      <c r="D113" s="1" t="s">
        <v>63</v>
      </c>
      <c r="E113" s="1" t="s">
        <v>87</v>
      </c>
      <c r="F113" s="1" t="s">
        <v>88</v>
      </c>
      <c r="G113" s="1" t="s">
        <v>60</v>
      </c>
      <c r="H113" s="1" t="s">
        <v>65</v>
      </c>
      <c r="I113" s="1" t="s">
        <v>163</v>
      </c>
      <c r="J113" s="24">
        <v>3.52</v>
      </c>
      <c r="K113" s="24">
        <v>5.58</v>
      </c>
      <c r="L113" s="28">
        <v>2.06</v>
      </c>
      <c r="M113" s="1">
        <v>40</v>
      </c>
      <c r="N113" s="28">
        <v>223.2</v>
      </c>
      <c r="O113" s="29">
        <v>0.02</v>
      </c>
      <c r="P113" s="28">
        <v>4.4640000000000004</v>
      </c>
      <c r="Q113" s="28">
        <v>218.73599999999999</v>
      </c>
      <c r="R113" s="1" t="str">
        <f t="shared" si="6"/>
        <v>Feb</v>
      </c>
      <c r="S113" s="28">
        <f t="shared" si="10"/>
        <v>140.80000000000001</v>
      </c>
      <c r="T113" s="28">
        <f t="shared" si="11"/>
        <v>77.935999999999979</v>
      </c>
      <c r="U113" s="11">
        <f t="shared" si="7"/>
        <v>0.35630166044912581</v>
      </c>
      <c r="V113" s="1" t="str">
        <f t="shared" si="8"/>
        <v>Fast</v>
      </c>
      <c r="W113" s="1" t="str">
        <f t="shared" si="9"/>
        <v>OK</v>
      </c>
    </row>
    <row r="114" spans="1:23">
      <c r="A114" s="1">
        <v>56732</v>
      </c>
      <c r="B114" s="10">
        <v>45712</v>
      </c>
      <c r="C114" s="1">
        <v>7</v>
      </c>
      <c r="D114" s="1" t="s">
        <v>63</v>
      </c>
      <c r="E114" s="1" t="s">
        <v>72</v>
      </c>
      <c r="F114" s="1" t="s">
        <v>88</v>
      </c>
      <c r="G114" s="1" t="s">
        <v>60</v>
      </c>
      <c r="H114" s="1" t="s">
        <v>65</v>
      </c>
      <c r="I114" s="1" t="s">
        <v>154</v>
      </c>
      <c r="J114" s="24">
        <v>22.18</v>
      </c>
      <c r="K114" s="24">
        <v>54.1</v>
      </c>
      <c r="L114" s="28">
        <v>31.92</v>
      </c>
      <c r="M114" s="1">
        <v>49</v>
      </c>
      <c r="N114" s="28">
        <v>2650.9</v>
      </c>
      <c r="O114" s="29">
        <v>0.02</v>
      </c>
      <c r="P114" s="28">
        <v>53.018000000000001</v>
      </c>
      <c r="Q114" s="28">
        <v>2597.8820000000001</v>
      </c>
      <c r="R114" s="1" t="str">
        <f t="shared" si="6"/>
        <v>Feb</v>
      </c>
      <c r="S114" s="28">
        <f t="shared" si="10"/>
        <v>1086.82</v>
      </c>
      <c r="T114" s="28">
        <f t="shared" si="11"/>
        <v>1511.0620000000001</v>
      </c>
      <c r="U114" s="11">
        <f t="shared" si="7"/>
        <v>0.58165151457995401</v>
      </c>
      <c r="V114" s="1" t="str">
        <f t="shared" si="8"/>
        <v>Standard</v>
      </c>
      <c r="W114" s="1" t="str">
        <f t="shared" si="9"/>
        <v>OK</v>
      </c>
    </row>
    <row r="115" spans="1:23">
      <c r="A115" s="1">
        <v>56733</v>
      </c>
      <c r="B115" s="10">
        <v>45715</v>
      </c>
      <c r="C115" s="1">
        <v>14</v>
      </c>
      <c r="D115" s="1" t="s">
        <v>63</v>
      </c>
      <c r="E115" s="1" t="s">
        <v>87</v>
      </c>
      <c r="F115" s="1" t="s">
        <v>64</v>
      </c>
      <c r="G115" s="1" t="s">
        <v>60</v>
      </c>
      <c r="H115" s="1" t="s">
        <v>68</v>
      </c>
      <c r="I115" s="1" t="s">
        <v>134</v>
      </c>
      <c r="J115" s="24">
        <v>5.33</v>
      </c>
      <c r="K115" s="24">
        <v>8.6</v>
      </c>
      <c r="L115" s="28">
        <v>3.27</v>
      </c>
      <c r="M115" s="1">
        <v>54</v>
      </c>
      <c r="N115" s="28">
        <v>464.4</v>
      </c>
      <c r="O115" s="29">
        <v>0.02</v>
      </c>
      <c r="P115" s="28">
        <v>9.2880000000000003</v>
      </c>
      <c r="Q115" s="28">
        <v>455.11200000000002</v>
      </c>
      <c r="R115" s="1" t="str">
        <f t="shared" si="6"/>
        <v>Feb</v>
      </c>
      <c r="S115" s="28">
        <f t="shared" si="10"/>
        <v>287.82</v>
      </c>
      <c r="T115" s="28">
        <f t="shared" si="11"/>
        <v>167.29200000000003</v>
      </c>
      <c r="U115" s="11">
        <f t="shared" si="7"/>
        <v>0.36758424299952541</v>
      </c>
      <c r="V115" s="1" t="str">
        <f t="shared" si="8"/>
        <v>Slow</v>
      </c>
      <c r="W115" s="1" t="str">
        <f t="shared" si="9"/>
        <v>OK</v>
      </c>
    </row>
    <row r="116" spans="1:23">
      <c r="A116" s="1">
        <v>56734</v>
      </c>
      <c r="B116" s="10">
        <v>45715</v>
      </c>
      <c r="C116" s="1">
        <v>23</v>
      </c>
      <c r="D116" s="1" t="s">
        <v>78</v>
      </c>
      <c r="E116" s="1" t="s">
        <v>87</v>
      </c>
      <c r="F116" s="1" t="s">
        <v>18</v>
      </c>
      <c r="G116" s="1" t="s">
        <v>60</v>
      </c>
      <c r="H116" s="1" t="s">
        <v>61</v>
      </c>
      <c r="I116" s="1" t="s">
        <v>80</v>
      </c>
      <c r="J116" s="24">
        <v>4.46</v>
      </c>
      <c r="K116" s="24">
        <v>10.89</v>
      </c>
      <c r="L116" s="28">
        <v>6.4300000000000006</v>
      </c>
      <c r="M116" s="1">
        <v>44</v>
      </c>
      <c r="N116" s="28">
        <v>479.16</v>
      </c>
      <c r="O116" s="29">
        <v>0</v>
      </c>
      <c r="P116" s="28">
        <v>0</v>
      </c>
      <c r="Q116" s="28">
        <v>479.16</v>
      </c>
      <c r="R116" s="1" t="str">
        <f t="shared" si="6"/>
        <v>Feb</v>
      </c>
      <c r="S116" s="28">
        <f t="shared" si="10"/>
        <v>196.24</v>
      </c>
      <c r="T116" s="28">
        <f t="shared" si="11"/>
        <v>282.92</v>
      </c>
      <c r="U116" s="11">
        <f t="shared" si="7"/>
        <v>0.59044995408631773</v>
      </c>
      <c r="V116" s="1" t="str">
        <f t="shared" si="8"/>
        <v>Very Slow</v>
      </c>
      <c r="W116" s="1" t="str">
        <f t="shared" si="9"/>
        <v>OK</v>
      </c>
    </row>
    <row r="117" spans="1:23">
      <c r="A117" s="1">
        <v>56735</v>
      </c>
      <c r="B117" s="10">
        <v>45715</v>
      </c>
      <c r="C117" s="1">
        <v>10</v>
      </c>
      <c r="D117" s="1" t="s">
        <v>57</v>
      </c>
      <c r="E117" s="1" t="s">
        <v>72</v>
      </c>
      <c r="F117" s="1" t="s">
        <v>73</v>
      </c>
      <c r="G117" s="1" t="s">
        <v>60</v>
      </c>
      <c r="H117" s="1" t="s">
        <v>90</v>
      </c>
      <c r="I117" s="1" t="s">
        <v>102</v>
      </c>
      <c r="J117" s="24">
        <v>67.73</v>
      </c>
      <c r="K117" s="24">
        <v>165.2</v>
      </c>
      <c r="L117" s="28">
        <v>97.469999999999985</v>
      </c>
      <c r="M117" s="1">
        <v>52</v>
      </c>
      <c r="N117" s="28">
        <v>8590.4</v>
      </c>
      <c r="O117" s="29">
        <v>0.05</v>
      </c>
      <c r="P117" s="28">
        <v>429.52</v>
      </c>
      <c r="Q117" s="28">
        <v>8160.8799999999992</v>
      </c>
      <c r="R117" s="1" t="str">
        <f t="shared" si="6"/>
        <v>Feb</v>
      </c>
      <c r="S117" s="28">
        <f t="shared" si="10"/>
        <v>3521.96</v>
      </c>
      <c r="T117" s="28">
        <f t="shared" si="11"/>
        <v>4638.9199999999992</v>
      </c>
      <c r="U117" s="11">
        <f t="shared" si="7"/>
        <v>0.56843379635529501</v>
      </c>
      <c r="V117" s="1" t="str">
        <f t="shared" si="8"/>
        <v>Slow</v>
      </c>
      <c r="W117" s="1" t="str">
        <f t="shared" si="9"/>
        <v>OK</v>
      </c>
    </row>
    <row r="118" spans="1:23">
      <c r="A118" s="1">
        <v>56736</v>
      </c>
      <c r="B118" s="10">
        <v>45715</v>
      </c>
      <c r="C118" s="1">
        <v>2</v>
      </c>
      <c r="D118" s="1" t="s">
        <v>78</v>
      </c>
      <c r="E118" s="1" t="s">
        <v>87</v>
      </c>
      <c r="F118" s="1" t="s">
        <v>88</v>
      </c>
      <c r="G118" s="1" t="s">
        <v>60</v>
      </c>
      <c r="H118" s="1" t="s">
        <v>68</v>
      </c>
      <c r="I118" s="1" t="s">
        <v>151</v>
      </c>
      <c r="J118" s="24">
        <v>2.31</v>
      </c>
      <c r="K118" s="24">
        <v>3.78</v>
      </c>
      <c r="L118" s="28">
        <v>1.47</v>
      </c>
      <c r="M118" s="1">
        <v>56</v>
      </c>
      <c r="N118" s="28">
        <v>211.68</v>
      </c>
      <c r="O118" s="29">
        <v>0.02</v>
      </c>
      <c r="P118" s="28">
        <v>4.2336</v>
      </c>
      <c r="Q118" s="28">
        <v>207.44640000000001</v>
      </c>
      <c r="R118" s="1" t="str">
        <f t="shared" si="6"/>
        <v>Feb</v>
      </c>
      <c r="S118" s="28">
        <f t="shared" si="10"/>
        <v>129.36000000000001</v>
      </c>
      <c r="T118" s="28">
        <f t="shared" si="11"/>
        <v>78.086399999999998</v>
      </c>
      <c r="U118" s="11">
        <f t="shared" si="7"/>
        <v>0.37641723356009066</v>
      </c>
      <c r="V118" s="1" t="str">
        <f t="shared" si="8"/>
        <v>Fast</v>
      </c>
      <c r="W118" s="1" t="str">
        <f t="shared" si="9"/>
        <v>OK</v>
      </c>
    </row>
    <row r="119" spans="1:23">
      <c r="A119" s="1">
        <v>56737</v>
      </c>
      <c r="B119" s="10">
        <v>45716</v>
      </c>
      <c r="C119" s="1">
        <v>6</v>
      </c>
      <c r="D119" s="1" t="s">
        <v>57</v>
      </c>
      <c r="E119" s="1" t="s">
        <v>87</v>
      </c>
      <c r="F119" s="1" t="s">
        <v>100</v>
      </c>
      <c r="G119" s="1" t="s">
        <v>60</v>
      </c>
      <c r="H119" s="1" t="s">
        <v>90</v>
      </c>
      <c r="I119" s="1" t="s">
        <v>105</v>
      </c>
      <c r="J119" s="24">
        <v>3.47</v>
      </c>
      <c r="K119" s="24">
        <v>6.68</v>
      </c>
      <c r="L119" s="28">
        <v>3.21</v>
      </c>
      <c r="M119" s="1">
        <v>11</v>
      </c>
      <c r="N119" s="28">
        <v>73.47999999999999</v>
      </c>
      <c r="O119" s="29">
        <v>0.08</v>
      </c>
      <c r="P119" s="28">
        <v>5.8783999999999992</v>
      </c>
      <c r="Q119" s="28">
        <v>67.601599999999991</v>
      </c>
      <c r="R119" s="1" t="str">
        <f t="shared" si="6"/>
        <v>Feb</v>
      </c>
      <c r="S119" s="28">
        <f t="shared" si="10"/>
        <v>38.17</v>
      </c>
      <c r="T119" s="28">
        <f t="shared" si="11"/>
        <v>29.431599999999989</v>
      </c>
      <c r="U119" s="11">
        <f t="shared" si="7"/>
        <v>0.43536839364748753</v>
      </c>
      <c r="V119" s="1" t="str">
        <f t="shared" si="8"/>
        <v>Standard</v>
      </c>
      <c r="W119" s="1" t="str">
        <f t="shared" si="9"/>
        <v>OK</v>
      </c>
    </row>
    <row r="120" spans="1:23">
      <c r="A120" s="1">
        <v>56738</v>
      </c>
      <c r="B120" s="10">
        <v>45716</v>
      </c>
      <c r="C120" s="1">
        <v>4</v>
      </c>
      <c r="D120" s="1" t="s">
        <v>63</v>
      </c>
      <c r="E120" s="1" t="s">
        <v>72</v>
      </c>
      <c r="F120" s="1" t="s">
        <v>64</v>
      </c>
      <c r="G120" s="1" t="s">
        <v>60</v>
      </c>
      <c r="H120" s="1" t="s">
        <v>90</v>
      </c>
      <c r="I120" s="1" t="s">
        <v>164</v>
      </c>
      <c r="J120" s="24">
        <v>0.87</v>
      </c>
      <c r="K120" s="24">
        <v>1.81</v>
      </c>
      <c r="L120" s="28">
        <v>0.94000000000000006</v>
      </c>
      <c r="M120" s="1">
        <v>11</v>
      </c>
      <c r="N120" s="28">
        <v>19.91</v>
      </c>
      <c r="O120" s="29">
        <v>0.09</v>
      </c>
      <c r="P120" s="28">
        <v>1.7919</v>
      </c>
      <c r="Q120" s="28">
        <v>18.118099999999998</v>
      </c>
      <c r="R120" s="1" t="str">
        <f t="shared" si="6"/>
        <v>Feb</v>
      </c>
      <c r="S120" s="28">
        <f t="shared" si="10"/>
        <v>9.57</v>
      </c>
      <c r="T120" s="28">
        <f t="shared" si="11"/>
        <v>8.548099999999998</v>
      </c>
      <c r="U120" s="11">
        <f t="shared" si="7"/>
        <v>0.47179891931273138</v>
      </c>
      <c r="V120" s="1" t="str">
        <f t="shared" si="8"/>
        <v>Standard</v>
      </c>
      <c r="W120" s="1" t="str">
        <f t="shared" si="9"/>
        <v>OK</v>
      </c>
    </row>
    <row r="121" spans="1:23">
      <c r="A121" s="1">
        <v>56739</v>
      </c>
      <c r="B121" s="10">
        <v>45716</v>
      </c>
      <c r="C121" s="1">
        <v>17</v>
      </c>
      <c r="D121" s="1" t="s">
        <v>63</v>
      </c>
      <c r="E121" s="1" t="s">
        <v>87</v>
      </c>
      <c r="F121" s="1" t="s">
        <v>98</v>
      </c>
      <c r="G121" s="1" t="s">
        <v>60</v>
      </c>
      <c r="H121" s="1" t="s">
        <v>70</v>
      </c>
      <c r="I121" s="1" t="s">
        <v>107</v>
      </c>
      <c r="J121" s="24">
        <v>13.88</v>
      </c>
      <c r="K121" s="24">
        <v>22.38</v>
      </c>
      <c r="L121" s="28">
        <v>8.4999999999999982</v>
      </c>
      <c r="M121" s="1">
        <v>20</v>
      </c>
      <c r="N121" s="28">
        <v>447.6</v>
      </c>
      <c r="O121" s="29">
        <v>0.04</v>
      </c>
      <c r="P121" s="28">
        <v>17.904</v>
      </c>
      <c r="Q121" s="28">
        <v>429.69600000000003</v>
      </c>
      <c r="R121" s="1" t="str">
        <f t="shared" si="6"/>
        <v>Feb</v>
      </c>
      <c r="S121" s="28">
        <f t="shared" si="10"/>
        <v>277.60000000000002</v>
      </c>
      <c r="T121" s="28">
        <f t="shared" si="11"/>
        <v>152.096</v>
      </c>
      <c r="U121" s="11">
        <f t="shared" si="7"/>
        <v>0.35396187071790286</v>
      </c>
      <c r="V121" s="1" t="str">
        <f t="shared" si="8"/>
        <v>Very Slow</v>
      </c>
      <c r="W121" s="1" t="str">
        <f t="shared" si="9"/>
        <v>OK</v>
      </c>
    </row>
    <row r="122" spans="1:23">
      <c r="A122" s="1">
        <v>56740</v>
      </c>
      <c r="B122" s="10">
        <v>45716</v>
      </c>
      <c r="C122" s="1">
        <v>14</v>
      </c>
      <c r="D122" s="1" t="s">
        <v>57</v>
      </c>
      <c r="E122" s="1" t="s">
        <v>58</v>
      </c>
      <c r="F122" s="1" t="s">
        <v>64</v>
      </c>
      <c r="G122" s="1" t="s">
        <v>60</v>
      </c>
      <c r="H122" s="1" t="s">
        <v>70</v>
      </c>
      <c r="I122" s="1" t="s">
        <v>165</v>
      </c>
      <c r="J122" s="24">
        <v>1.3</v>
      </c>
      <c r="K122" s="24">
        <v>2.88</v>
      </c>
      <c r="L122" s="28">
        <v>1.58</v>
      </c>
      <c r="M122" s="1">
        <v>55</v>
      </c>
      <c r="N122" s="28">
        <v>158.4</v>
      </c>
      <c r="O122" s="29">
        <v>0.04</v>
      </c>
      <c r="P122" s="28">
        <v>6.3360000000000003</v>
      </c>
      <c r="Q122" s="28">
        <v>152.06399999999999</v>
      </c>
      <c r="R122" s="1" t="str">
        <f t="shared" si="6"/>
        <v>Feb</v>
      </c>
      <c r="S122" s="28">
        <f t="shared" si="10"/>
        <v>71.5</v>
      </c>
      <c r="T122" s="28">
        <f t="shared" si="11"/>
        <v>80.563999999999993</v>
      </c>
      <c r="U122" s="11">
        <f t="shared" si="7"/>
        <v>0.5298032407407407</v>
      </c>
      <c r="V122" s="1" t="str">
        <f t="shared" si="8"/>
        <v>Slow</v>
      </c>
      <c r="W122" s="1" t="str">
        <f t="shared" si="9"/>
        <v>OK</v>
      </c>
    </row>
    <row r="123" spans="1:23">
      <c r="A123" s="1">
        <v>56741</v>
      </c>
      <c r="B123" s="10">
        <v>45717</v>
      </c>
      <c r="C123" s="1">
        <v>14</v>
      </c>
      <c r="D123" s="1" t="s">
        <v>78</v>
      </c>
      <c r="E123" s="1" t="s">
        <v>87</v>
      </c>
      <c r="F123" s="1" t="s">
        <v>59</v>
      </c>
      <c r="G123" s="1" t="s">
        <v>60</v>
      </c>
      <c r="H123" s="1" t="s">
        <v>68</v>
      </c>
      <c r="I123" s="1" t="s">
        <v>107</v>
      </c>
      <c r="J123" s="24">
        <v>13.88</v>
      </c>
      <c r="K123" s="24">
        <v>22.38</v>
      </c>
      <c r="L123" s="28">
        <v>8.4999999999999982</v>
      </c>
      <c r="M123" s="1">
        <v>55</v>
      </c>
      <c r="N123" s="28">
        <v>1230.9000000000001</v>
      </c>
      <c r="O123" s="29">
        <v>7.0000000000000007E-2</v>
      </c>
      <c r="P123" s="28">
        <v>86.162999999999997</v>
      </c>
      <c r="Q123" s="28">
        <v>1144.7370000000001</v>
      </c>
      <c r="R123" s="1" t="str">
        <f t="shared" si="6"/>
        <v>Mar</v>
      </c>
      <c r="S123" s="28">
        <f t="shared" si="10"/>
        <v>763.40000000000009</v>
      </c>
      <c r="T123" s="28">
        <f t="shared" si="11"/>
        <v>381.33699999999999</v>
      </c>
      <c r="U123" s="11">
        <f t="shared" si="7"/>
        <v>0.33312193106364169</v>
      </c>
      <c r="V123" s="1" t="str">
        <f t="shared" si="8"/>
        <v>Slow</v>
      </c>
      <c r="W123" s="1" t="str">
        <f t="shared" si="9"/>
        <v>OK</v>
      </c>
    </row>
    <row r="124" spans="1:23">
      <c r="A124" s="1">
        <v>56742</v>
      </c>
      <c r="B124" s="10">
        <v>45717</v>
      </c>
      <c r="C124" s="1">
        <v>15</v>
      </c>
      <c r="D124" s="1" t="s">
        <v>57</v>
      </c>
      <c r="E124" s="1" t="s">
        <v>67</v>
      </c>
      <c r="F124" s="1" t="s">
        <v>64</v>
      </c>
      <c r="G124" s="1" t="s">
        <v>60</v>
      </c>
      <c r="H124" s="1" t="s">
        <v>70</v>
      </c>
      <c r="I124" s="1" t="s">
        <v>95</v>
      </c>
      <c r="J124" s="24">
        <v>1.31</v>
      </c>
      <c r="K124" s="24">
        <v>2.84</v>
      </c>
      <c r="L124" s="28">
        <v>1.53</v>
      </c>
      <c r="M124" s="1">
        <v>25</v>
      </c>
      <c r="N124" s="28">
        <v>71</v>
      </c>
      <c r="O124" s="29">
        <v>0</v>
      </c>
      <c r="P124" s="28">
        <v>0</v>
      </c>
      <c r="Q124" s="28">
        <v>71</v>
      </c>
      <c r="R124" s="1" t="str">
        <f t="shared" si="6"/>
        <v>Mar</v>
      </c>
      <c r="S124" s="28">
        <f t="shared" si="10"/>
        <v>32.75</v>
      </c>
      <c r="T124" s="28">
        <f t="shared" si="11"/>
        <v>38.25</v>
      </c>
      <c r="U124" s="11">
        <f t="shared" si="7"/>
        <v>0.53873239436619713</v>
      </c>
      <c r="V124" s="1" t="str">
        <f t="shared" si="8"/>
        <v>Very Slow</v>
      </c>
      <c r="W124" s="1" t="str">
        <f t="shared" si="9"/>
        <v>OK</v>
      </c>
    </row>
    <row r="125" spans="1:23">
      <c r="A125" s="1">
        <v>56743</v>
      </c>
      <c r="B125" s="10">
        <v>45718</v>
      </c>
      <c r="C125" s="1">
        <v>14</v>
      </c>
      <c r="D125" s="1" t="s">
        <v>63</v>
      </c>
      <c r="E125" s="1" t="s">
        <v>87</v>
      </c>
      <c r="F125" s="1" t="s">
        <v>64</v>
      </c>
      <c r="G125" s="1" t="s">
        <v>81</v>
      </c>
      <c r="H125" s="1" t="s">
        <v>61</v>
      </c>
      <c r="I125" s="1" t="s">
        <v>166</v>
      </c>
      <c r="J125" s="24">
        <v>20.18</v>
      </c>
      <c r="K125" s="24">
        <v>35.409999999999997</v>
      </c>
      <c r="L125" s="28">
        <v>15.23</v>
      </c>
      <c r="M125" s="1">
        <v>1</v>
      </c>
      <c r="N125" s="28">
        <v>35.409999999999997</v>
      </c>
      <c r="O125" s="29">
        <v>0</v>
      </c>
      <c r="P125" s="28">
        <v>0</v>
      </c>
      <c r="Q125" s="28">
        <v>35.409999999999997</v>
      </c>
      <c r="R125" s="1" t="str">
        <f t="shared" si="6"/>
        <v>Mar</v>
      </c>
      <c r="S125" s="28">
        <f t="shared" si="10"/>
        <v>20.18</v>
      </c>
      <c r="T125" s="28">
        <f t="shared" si="11"/>
        <v>15.229999999999997</v>
      </c>
      <c r="U125" s="11">
        <f t="shared" si="7"/>
        <v>0.43010449025698949</v>
      </c>
      <c r="V125" s="1" t="str">
        <f t="shared" si="8"/>
        <v>Slow</v>
      </c>
      <c r="W125" s="1" t="str">
        <f t="shared" si="9"/>
        <v>OK</v>
      </c>
    </row>
    <row r="126" spans="1:23">
      <c r="A126" s="1">
        <v>56744</v>
      </c>
      <c r="B126" s="10">
        <v>45718</v>
      </c>
      <c r="C126" s="1">
        <v>4</v>
      </c>
      <c r="D126" s="1" t="s">
        <v>57</v>
      </c>
      <c r="E126" s="1" t="s">
        <v>67</v>
      </c>
      <c r="F126" s="1" t="s">
        <v>98</v>
      </c>
      <c r="G126" s="1" t="s">
        <v>60</v>
      </c>
      <c r="H126" s="1" t="s">
        <v>61</v>
      </c>
      <c r="I126" s="1" t="s">
        <v>167</v>
      </c>
      <c r="J126" s="24">
        <v>0.9</v>
      </c>
      <c r="K126" s="24">
        <v>2.1</v>
      </c>
      <c r="L126" s="28">
        <v>1.2</v>
      </c>
      <c r="M126" s="1">
        <v>22</v>
      </c>
      <c r="N126" s="28">
        <v>46.2</v>
      </c>
      <c r="O126" s="29">
        <v>0.06</v>
      </c>
      <c r="P126" s="28">
        <v>2.7719999999999998</v>
      </c>
      <c r="Q126" s="28">
        <v>43.427999999999997</v>
      </c>
      <c r="R126" s="1" t="str">
        <f t="shared" si="6"/>
        <v>Mar</v>
      </c>
      <c r="S126" s="28">
        <f t="shared" si="10"/>
        <v>19.8</v>
      </c>
      <c r="T126" s="28">
        <f t="shared" si="11"/>
        <v>23.627999999999997</v>
      </c>
      <c r="U126" s="11">
        <f t="shared" si="7"/>
        <v>0.54407294832826747</v>
      </c>
      <c r="V126" s="1" t="str">
        <f t="shared" si="8"/>
        <v>Standard</v>
      </c>
      <c r="W126" s="1" t="str">
        <f t="shared" si="9"/>
        <v>OK</v>
      </c>
    </row>
    <row r="127" spans="1:23">
      <c r="A127" s="1">
        <v>56745</v>
      </c>
      <c r="B127" s="10">
        <v>45718</v>
      </c>
      <c r="C127" s="1">
        <v>16</v>
      </c>
      <c r="D127" s="1" t="s">
        <v>57</v>
      </c>
      <c r="E127" s="1" t="s">
        <v>58</v>
      </c>
      <c r="F127" s="1" t="s">
        <v>18</v>
      </c>
      <c r="G127" s="1" t="s">
        <v>60</v>
      </c>
      <c r="H127" s="1" t="s">
        <v>68</v>
      </c>
      <c r="I127" s="1" t="s">
        <v>168</v>
      </c>
      <c r="J127" s="24">
        <v>3.4</v>
      </c>
      <c r="K127" s="24">
        <v>5.4</v>
      </c>
      <c r="L127" s="28">
        <v>2</v>
      </c>
      <c r="M127" s="1">
        <v>10</v>
      </c>
      <c r="N127" s="28">
        <v>54</v>
      </c>
      <c r="O127" s="29">
        <v>0.09</v>
      </c>
      <c r="P127" s="28">
        <v>4.8599999999999994</v>
      </c>
      <c r="Q127" s="28">
        <v>49.14</v>
      </c>
      <c r="R127" s="1" t="str">
        <f t="shared" si="6"/>
        <v>Mar</v>
      </c>
      <c r="S127" s="28">
        <f t="shared" si="10"/>
        <v>34</v>
      </c>
      <c r="T127" s="28">
        <f t="shared" si="11"/>
        <v>15.14</v>
      </c>
      <c r="U127" s="11">
        <f t="shared" si="7"/>
        <v>0.30809930809930813</v>
      </c>
      <c r="V127" s="1" t="str">
        <f t="shared" si="8"/>
        <v>Very Slow</v>
      </c>
      <c r="W127" s="1" t="str">
        <f t="shared" si="9"/>
        <v>OK</v>
      </c>
    </row>
    <row r="128" spans="1:23">
      <c r="A128" s="1">
        <v>56746</v>
      </c>
      <c r="B128" s="10">
        <v>45718</v>
      </c>
      <c r="C128" s="1">
        <v>21</v>
      </c>
      <c r="D128" s="1" t="s">
        <v>78</v>
      </c>
      <c r="E128" s="1" t="s">
        <v>67</v>
      </c>
      <c r="F128" s="1" t="s">
        <v>18</v>
      </c>
      <c r="G128" s="1" t="s">
        <v>60</v>
      </c>
      <c r="H128" s="1" t="s">
        <v>68</v>
      </c>
      <c r="I128" s="1" t="s">
        <v>169</v>
      </c>
      <c r="J128" s="24">
        <v>0.94</v>
      </c>
      <c r="K128" s="24">
        <v>2.08</v>
      </c>
      <c r="L128" s="28">
        <v>1.1399999999999999</v>
      </c>
      <c r="M128" s="1">
        <v>40</v>
      </c>
      <c r="N128" s="28">
        <v>83.2</v>
      </c>
      <c r="O128" s="29">
        <v>0.05</v>
      </c>
      <c r="P128" s="28">
        <v>4.16</v>
      </c>
      <c r="Q128" s="28">
        <v>79.040000000000006</v>
      </c>
      <c r="R128" s="1" t="str">
        <f t="shared" si="6"/>
        <v>Mar</v>
      </c>
      <c r="S128" s="28">
        <f t="shared" si="10"/>
        <v>37.599999999999994</v>
      </c>
      <c r="T128" s="28">
        <f t="shared" si="11"/>
        <v>41.440000000000012</v>
      </c>
      <c r="U128" s="11">
        <f t="shared" si="7"/>
        <v>0.52429149797570862</v>
      </c>
      <c r="V128" s="1" t="str">
        <f t="shared" si="8"/>
        <v>Very Slow</v>
      </c>
      <c r="W128" s="1" t="str">
        <f t="shared" si="9"/>
        <v>OK</v>
      </c>
    </row>
    <row r="129" spans="1:23">
      <c r="A129" s="1">
        <v>56747</v>
      </c>
      <c r="B129" s="10">
        <v>45718</v>
      </c>
      <c r="C129" s="1">
        <v>8</v>
      </c>
      <c r="D129" s="1" t="s">
        <v>57</v>
      </c>
      <c r="E129" s="1" t="s">
        <v>72</v>
      </c>
      <c r="F129" s="1" t="s">
        <v>59</v>
      </c>
      <c r="G129" s="1" t="s">
        <v>85</v>
      </c>
      <c r="H129" s="1" t="s">
        <v>61</v>
      </c>
      <c r="I129" s="1" t="s">
        <v>170</v>
      </c>
      <c r="J129" s="24">
        <v>56.16</v>
      </c>
      <c r="K129" s="24">
        <v>136.97999999999999</v>
      </c>
      <c r="L129" s="28">
        <v>80.819999999999993</v>
      </c>
      <c r="M129" s="1">
        <v>17</v>
      </c>
      <c r="N129" s="28">
        <v>2328.66</v>
      </c>
      <c r="O129" s="29">
        <v>0.02</v>
      </c>
      <c r="P129" s="28">
        <v>46.5732</v>
      </c>
      <c r="Q129" s="28">
        <v>2282.0868</v>
      </c>
      <c r="R129" s="1" t="str">
        <f t="shared" si="6"/>
        <v>Mar</v>
      </c>
      <c r="S129" s="28">
        <f t="shared" si="10"/>
        <v>954.71999999999991</v>
      </c>
      <c r="T129" s="28">
        <f t="shared" si="11"/>
        <v>1327.3668000000002</v>
      </c>
      <c r="U129" s="11">
        <f t="shared" si="7"/>
        <v>0.58164606184129375</v>
      </c>
      <c r="V129" s="1" t="str">
        <f t="shared" si="8"/>
        <v>Slow</v>
      </c>
      <c r="W129" s="1" t="str">
        <f t="shared" si="9"/>
        <v>OK</v>
      </c>
    </row>
    <row r="130" spans="1:23">
      <c r="A130" s="1">
        <v>56748</v>
      </c>
      <c r="B130" s="10">
        <v>45719</v>
      </c>
      <c r="C130" s="1">
        <v>18</v>
      </c>
      <c r="D130" s="1" t="s">
        <v>78</v>
      </c>
      <c r="E130" s="1" t="s">
        <v>72</v>
      </c>
      <c r="F130" s="1" t="s">
        <v>108</v>
      </c>
      <c r="G130" s="1" t="s">
        <v>60</v>
      </c>
      <c r="H130" s="1" t="s">
        <v>90</v>
      </c>
      <c r="I130" s="1" t="s">
        <v>159</v>
      </c>
      <c r="J130" s="24">
        <v>13.64</v>
      </c>
      <c r="K130" s="24">
        <v>20.98</v>
      </c>
      <c r="L130" s="28">
        <v>7.34</v>
      </c>
      <c r="M130" s="1">
        <v>31</v>
      </c>
      <c r="N130" s="28">
        <v>650.38</v>
      </c>
      <c r="O130" s="29">
        <v>7.0000000000000007E-2</v>
      </c>
      <c r="P130" s="28">
        <v>45.526600000000002</v>
      </c>
      <c r="Q130" s="28">
        <v>604.85339999999997</v>
      </c>
      <c r="R130" s="1" t="str">
        <f t="shared" si="6"/>
        <v>Mar</v>
      </c>
      <c r="S130" s="28">
        <f t="shared" si="10"/>
        <v>422.84000000000003</v>
      </c>
      <c r="T130" s="28">
        <f t="shared" si="11"/>
        <v>182.01339999999993</v>
      </c>
      <c r="U130" s="11">
        <f t="shared" si="7"/>
        <v>0.30092151255163641</v>
      </c>
      <c r="V130" s="1" t="str">
        <f t="shared" si="8"/>
        <v>Very Slow</v>
      </c>
      <c r="W130" s="1" t="str">
        <f t="shared" si="9"/>
        <v>OK</v>
      </c>
    </row>
    <row r="131" spans="1:23">
      <c r="A131" s="1">
        <v>56749</v>
      </c>
      <c r="B131" s="10">
        <v>45719</v>
      </c>
      <c r="C131" s="1">
        <v>7</v>
      </c>
      <c r="D131" s="1" t="s">
        <v>78</v>
      </c>
      <c r="E131" s="1" t="s">
        <v>58</v>
      </c>
      <c r="F131" s="1" t="s">
        <v>88</v>
      </c>
      <c r="G131" s="1" t="s">
        <v>60</v>
      </c>
      <c r="H131" s="1" t="s">
        <v>61</v>
      </c>
      <c r="I131" s="1" t="s">
        <v>149</v>
      </c>
      <c r="J131" s="24">
        <v>3.52</v>
      </c>
      <c r="K131" s="24">
        <v>5.68</v>
      </c>
      <c r="L131" s="28">
        <v>2.16</v>
      </c>
      <c r="M131" s="1">
        <v>21</v>
      </c>
      <c r="N131" s="28">
        <v>119.28</v>
      </c>
      <c r="O131" s="29">
        <v>0.06</v>
      </c>
      <c r="P131" s="28">
        <v>7.1567999999999996</v>
      </c>
      <c r="Q131" s="28">
        <v>112.1232</v>
      </c>
      <c r="R131" s="1" t="str">
        <f t="shared" si="6"/>
        <v>Mar</v>
      </c>
      <c r="S131" s="28">
        <f t="shared" si="10"/>
        <v>73.92</v>
      </c>
      <c r="T131" s="28">
        <f t="shared" si="11"/>
        <v>38.203199999999995</v>
      </c>
      <c r="U131" s="11">
        <f t="shared" si="7"/>
        <v>0.3407252022774947</v>
      </c>
      <c r="V131" s="1" t="str">
        <f t="shared" si="8"/>
        <v>Standard</v>
      </c>
      <c r="W131" s="1" t="str">
        <f t="shared" si="9"/>
        <v>OK</v>
      </c>
    </row>
    <row r="132" spans="1:23">
      <c r="A132" s="1">
        <v>56750</v>
      </c>
      <c r="B132" s="10">
        <v>45719</v>
      </c>
      <c r="C132" s="1">
        <v>22</v>
      </c>
      <c r="D132" s="1" t="s">
        <v>57</v>
      </c>
      <c r="E132" s="1" t="s">
        <v>87</v>
      </c>
      <c r="F132" s="1" t="s">
        <v>73</v>
      </c>
      <c r="G132" s="1" t="s">
        <v>60</v>
      </c>
      <c r="H132" s="1" t="s">
        <v>65</v>
      </c>
      <c r="I132" s="1" t="s">
        <v>171</v>
      </c>
      <c r="J132" s="24">
        <v>2.9</v>
      </c>
      <c r="K132" s="24">
        <v>4.76</v>
      </c>
      <c r="L132" s="28">
        <v>1.86</v>
      </c>
      <c r="M132" s="1">
        <v>34</v>
      </c>
      <c r="N132" s="28">
        <v>161.84</v>
      </c>
      <c r="O132" s="29">
        <v>7.0000000000000007E-2</v>
      </c>
      <c r="P132" s="28">
        <v>11.328799999999999</v>
      </c>
      <c r="Q132" s="28">
        <v>150.5112</v>
      </c>
      <c r="R132" s="1" t="str">
        <f t="shared" si="6"/>
        <v>Mar</v>
      </c>
      <c r="S132" s="28">
        <f t="shared" si="10"/>
        <v>98.6</v>
      </c>
      <c r="T132" s="28">
        <f t="shared" si="11"/>
        <v>51.911200000000008</v>
      </c>
      <c r="U132" s="11">
        <f t="shared" si="7"/>
        <v>0.34489925002258975</v>
      </c>
      <c r="V132" s="1" t="str">
        <f t="shared" si="8"/>
        <v>Very Slow</v>
      </c>
      <c r="W132" s="1" t="str">
        <f t="shared" si="9"/>
        <v>OK</v>
      </c>
    </row>
    <row r="133" spans="1:23">
      <c r="A133" s="1">
        <v>56751</v>
      </c>
      <c r="B133" s="10">
        <v>45720</v>
      </c>
      <c r="C133" s="1">
        <v>6</v>
      </c>
      <c r="D133" s="1" t="s">
        <v>57</v>
      </c>
      <c r="E133" s="1" t="s">
        <v>72</v>
      </c>
      <c r="F133" s="1" t="s">
        <v>64</v>
      </c>
      <c r="G133" s="1" t="s">
        <v>60</v>
      </c>
      <c r="H133" s="1" t="s">
        <v>90</v>
      </c>
      <c r="I133" s="1" t="s">
        <v>161</v>
      </c>
      <c r="J133" s="24">
        <v>2.87</v>
      </c>
      <c r="K133" s="24">
        <v>6.84</v>
      </c>
      <c r="L133" s="28">
        <v>3.97</v>
      </c>
      <c r="M133" s="1">
        <v>28</v>
      </c>
      <c r="N133" s="28">
        <v>191.52</v>
      </c>
      <c r="O133" s="29">
        <v>0.08</v>
      </c>
      <c r="P133" s="28">
        <v>15.3216</v>
      </c>
      <c r="Q133" s="28">
        <v>176.19839999999999</v>
      </c>
      <c r="R133" s="1" t="str">
        <f t="shared" ref="R133:R196" si="12">TEXT(B133,"mmm")</f>
        <v>Mar</v>
      </c>
      <c r="S133" s="28">
        <f t="shared" si="10"/>
        <v>80.36</v>
      </c>
      <c r="T133" s="28">
        <f t="shared" si="11"/>
        <v>95.838399999999993</v>
      </c>
      <c r="U133" s="11">
        <f t="shared" ref="U133:U196" si="13">IF(Q133=0,0,T133/Q133)</f>
        <v>0.54392321383168063</v>
      </c>
      <c r="V133" s="1" t="str">
        <f t="shared" ref="V133:V196" si="14">IF(C133&lt;=3,"Fast",IF(C133&lt;=7,"Standard",IF(C133&lt;=14,"Slow","Very Slow")))</f>
        <v>Standard</v>
      </c>
      <c r="W133" s="1" t="str">
        <f t="shared" ref="W133:W196" si="15">IF(OR(H133="Not Specifiedd",P133&lt;0),"Review","OK")</f>
        <v>OK</v>
      </c>
    </row>
    <row r="134" spans="1:23">
      <c r="A134" s="1">
        <v>56752</v>
      </c>
      <c r="B134" s="10">
        <v>45720</v>
      </c>
      <c r="C134" s="1">
        <v>11</v>
      </c>
      <c r="D134" s="1" t="s">
        <v>57</v>
      </c>
      <c r="E134" s="1" t="s">
        <v>58</v>
      </c>
      <c r="F134" s="1" t="s">
        <v>59</v>
      </c>
      <c r="G134" s="1" t="s">
        <v>60</v>
      </c>
      <c r="H134" s="1" t="s">
        <v>61</v>
      </c>
      <c r="I134" s="1" t="s">
        <v>167</v>
      </c>
      <c r="J134" s="24">
        <v>0.9</v>
      </c>
      <c r="K134" s="24">
        <v>2.1</v>
      </c>
      <c r="L134" s="28">
        <v>1.2</v>
      </c>
      <c r="M134" s="1">
        <v>29</v>
      </c>
      <c r="N134" s="28">
        <v>60.900000000000013</v>
      </c>
      <c r="O134" s="29">
        <v>0.02</v>
      </c>
      <c r="P134" s="28">
        <v>1.218</v>
      </c>
      <c r="Q134" s="28">
        <v>59.682000000000002</v>
      </c>
      <c r="R134" s="1" t="str">
        <f t="shared" si="12"/>
        <v>Mar</v>
      </c>
      <c r="S134" s="28">
        <f t="shared" ref="S134:S197" si="16">J134*M134</f>
        <v>26.1</v>
      </c>
      <c r="T134" s="28">
        <f t="shared" ref="T134:T197" si="17">Q134-S134</f>
        <v>33.582000000000001</v>
      </c>
      <c r="U134" s="11">
        <f t="shared" si="13"/>
        <v>0.56268221574344024</v>
      </c>
      <c r="V134" s="1" t="str">
        <f t="shared" si="14"/>
        <v>Slow</v>
      </c>
      <c r="W134" s="1" t="str">
        <f t="shared" si="15"/>
        <v>OK</v>
      </c>
    </row>
    <row r="135" spans="1:23">
      <c r="A135" s="1">
        <v>56753</v>
      </c>
      <c r="B135" s="10">
        <v>45721</v>
      </c>
      <c r="C135" s="1">
        <v>21</v>
      </c>
      <c r="D135" s="1" t="s">
        <v>57</v>
      </c>
      <c r="E135" s="1" t="s">
        <v>72</v>
      </c>
      <c r="F135" s="1" t="s">
        <v>84</v>
      </c>
      <c r="G135" s="1" t="s">
        <v>60</v>
      </c>
      <c r="H135" s="1" t="s">
        <v>65</v>
      </c>
      <c r="I135" s="1" t="s">
        <v>107</v>
      </c>
      <c r="J135" s="24">
        <v>13.88</v>
      </c>
      <c r="K135" s="24">
        <v>22.38</v>
      </c>
      <c r="L135" s="28">
        <v>8.4999999999999982</v>
      </c>
      <c r="M135" s="1">
        <v>35</v>
      </c>
      <c r="N135" s="28">
        <v>783.3</v>
      </c>
      <c r="O135" s="29">
        <v>7.0000000000000007E-2</v>
      </c>
      <c r="P135" s="28">
        <v>54.831000000000003</v>
      </c>
      <c r="Q135" s="28">
        <v>728.46899999999994</v>
      </c>
      <c r="R135" s="1" t="str">
        <f t="shared" si="12"/>
        <v>Mar</v>
      </c>
      <c r="S135" s="28">
        <f t="shared" si="16"/>
        <v>485.8</v>
      </c>
      <c r="T135" s="28">
        <f t="shared" si="17"/>
        <v>242.66899999999993</v>
      </c>
      <c r="U135" s="11">
        <f t="shared" si="13"/>
        <v>0.33312193106364163</v>
      </c>
      <c r="V135" s="1" t="str">
        <f t="shared" si="14"/>
        <v>Very Slow</v>
      </c>
      <c r="W135" s="1" t="str">
        <f t="shared" si="15"/>
        <v>OK</v>
      </c>
    </row>
    <row r="136" spans="1:23">
      <c r="A136" s="1">
        <v>56754</v>
      </c>
      <c r="B136" s="10">
        <v>45721</v>
      </c>
      <c r="C136" s="1">
        <v>7</v>
      </c>
      <c r="D136" s="1" t="s">
        <v>57</v>
      </c>
      <c r="E136" s="1" t="s">
        <v>72</v>
      </c>
      <c r="F136" s="1" t="s">
        <v>59</v>
      </c>
      <c r="G136" s="1" t="s">
        <v>60</v>
      </c>
      <c r="H136" s="1" t="s">
        <v>70</v>
      </c>
      <c r="I136" s="1" t="s">
        <v>99</v>
      </c>
      <c r="J136" s="24">
        <v>21.56</v>
      </c>
      <c r="K136" s="24">
        <v>35.94</v>
      </c>
      <c r="L136" s="28">
        <v>14.38</v>
      </c>
      <c r="M136" s="1">
        <v>16</v>
      </c>
      <c r="N136" s="28">
        <v>575.04</v>
      </c>
      <c r="O136" s="29">
        <v>0.09</v>
      </c>
      <c r="P136" s="28">
        <v>51.753599999999992</v>
      </c>
      <c r="Q136" s="28">
        <v>523.28639999999996</v>
      </c>
      <c r="R136" s="1" t="str">
        <f t="shared" si="12"/>
        <v>Mar</v>
      </c>
      <c r="S136" s="28">
        <f t="shared" si="16"/>
        <v>344.96</v>
      </c>
      <c r="T136" s="28">
        <f t="shared" si="17"/>
        <v>178.32639999999998</v>
      </c>
      <c r="U136" s="11">
        <f t="shared" si="13"/>
        <v>0.3407816446213775</v>
      </c>
      <c r="V136" s="1" t="str">
        <f t="shared" si="14"/>
        <v>Standard</v>
      </c>
      <c r="W136" s="1" t="str">
        <f t="shared" si="15"/>
        <v>OK</v>
      </c>
    </row>
    <row r="137" spans="1:23">
      <c r="A137" s="1">
        <v>56755</v>
      </c>
      <c r="B137" s="10">
        <v>45722</v>
      </c>
      <c r="C137" s="1">
        <v>12</v>
      </c>
      <c r="D137" s="1" t="s">
        <v>78</v>
      </c>
      <c r="E137" s="1" t="s">
        <v>67</v>
      </c>
      <c r="F137" s="1" t="s">
        <v>59</v>
      </c>
      <c r="G137" s="1" t="s">
        <v>60</v>
      </c>
      <c r="H137" s="1" t="s">
        <v>65</v>
      </c>
      <c r="I137" s="1" t="s">
        <v>121</v>
      </c>
      <c r="J137" s="24">
        <v>1.84</v>
      </c>
      <c r="K137" s="24">
        <v>2.88</v>
      </c>
      <c r="L137" s="28">
        <v>1.04</v>
      </c>
      <c r="M137" s="1">
        <v>22</v>
      </c>
      <c r="N137" s="28">
        <v>63.36</v>
      </c>
      <c r="O137" s="29">
        <v>0.06</v>
      </c>
      <c r="P137" s="28">
        <v>3.8016000000000001</v>
      </c>
      <c r="Q137" s="28">
        <v>59.558399999999999</v>
      </c>
      <c r="R137" s="1" t="str">
        <f t="shared" si="12"/>
        <v>Mar</v>
      </c>
      <c r="S137" s="28">
        <f t="shared" si="16"/>
        <v>40.480000000000004</v>
      </c>
      <c r="T137" s="28">
        <f t="shared" si="17"/>
        <v>19.078399999999995</v>
      </c>
      <c r="U137" s="11">
        <f t="shared" si="13"/>
        <v>0.32033096926713939</v>
      </c>
      <c r="V137" s="1" t="str">
        <f t="shared" si="14"/>
        <v>Slow</v>
      </c>
      <c r="W137" s="1" t="str">
        <f t="shared" si="15"/>
        <v>OK</v>
      </c>
    </row>
    <row r="138" spans="1:23">
      <c r="A138" s="1">
        <v>56756</v>
      </c>
      <c r="B138" s="10">
        <v>45722</v>
      </c>
      <c r="C138" s="1">
        <v>11</v>
      </c>
      <c r="D138" s="1" t="s">
        <v>63</v>
      </c>
      <c r="E138" s="1" t="s">
        <v>87</v>
      </c>
      <c r="F138" s="1" t="s">
        <v>84</v>
      </c>
      <c r="G138" s="1" t="s">
        <v>60</v>
      </c>
      <c r="H138" s="1" t="s">
        <v>61</v>
      </c>
      <c r="I138" s="1" t="s">
        <v>168</v>
      </c>
      <c r="J138" s="24">
        <v>3.4</v>
      </c>
      <c r="K138" s="24">
        <v>5.4</v>
      </c>
      <c r="L138" s="28">
        <v>2</v>
      </c>
      <c r="M138" s="1">
        <v>15</v>
      </c>
      <c r="N138" s="28">
        <v>81</v>
      </c>
      <c r="O138" s="29">
        <v>0.09</v>
      </c>
      <c r="P138" s="28">
        <v>7.29</v>
      </c>
      <c r="Q138" s="28">
        <v>73.709999999999994</v>
      </c>
      <c r="R138" s="1" t="str">
        <f t="shared" si="12"/>
        <v>Mar</v>
      </c>
      <c r="S138" s="28">
        <f t="shared" si="16"/>
        <v>51</v>
      </c>
      <c r="T138" s="28">
        <f t="shared" si="17"/>
        <v>22.709999999999994</v>
      </c>
      <c r="U138" s="11">
        <f t="shared" si="13"/>
        <v>0.30809930809930802</v>
      </c>
      <c r="V138" s="1" t="str">
        <f t="shared" si="14"/>
        <v>Slow</v>
      </c>
      <c r="W138" s="1" t="str">
        <f t="shared" si="15"/>
        <v>OK</v>
      </c>
    </row>
    <row r="139" spans="1:23">
      <c r="A139" s="1">
        <v>56757</v>
      </c>
      <c r="B139" s="10">
        <v>45722</v>
      </c>
      <c r="C139" s="1">
        <v>4</v>
      </c>
      <c r="D139" s="1" t="s">
        <v>57</v>
      </c>
      <c r="E139" s="1" t="s">
        <v>72</v>
      </c>
      <c r="F139" s="1" t="s">
        <v>84</v>
      </c>
      <c r="G139" s="1" t="s">
        <v>60</v>
      </c>
      <c r="H139" s="1" t="s">
        <v>61</v>
      </c>
      <c r="I139" s="1" t="s">
        <v>119</v>
      </c>
      <c r="J139" s="24">
        <v>1.95</v>
      </c>
      <c r="K139" s="24">
        <v>3.98</v>
      </c>
      <c r="L139" s="28">
        <v>2.0299999999999998</v>
      </c>
      <c r="M139" s="1">
        <v>33</v>
      </c>
      <c r="N139" s="28">
        <v>131.34</v>
      </c>
      <c r="O139" s="29">
        <v>7.0000000000000007E-2</v>
      </c>
      <c r="P139" s="28">
        <v>9.1938000000000013</v>
      </c>
      <c r="Q139" s="28">
        <v>122.14619999999999</v>
      </c>
      <c r="R139" s="1" t="str">
        <f t="shared" si="12"/>
        <v>Mar</v>
      </c>
      <c r="S139" s="28">
        <f t="shared" si="16"/>
        <v>64.349999999999994</v>
      </c>
      <c r="T139" s="28">
        <f t="shared" si="17"/>
        <v>57.796199999999999</v>
      </c>
      <c r="U139" s="11">
        <f t="shared" si="13"/>
        <v>0.47317231317879721</v>
      </c>
      <c r="V139" s="1" t="str">
        <f t="shared" si="14"/>
        <v>Standard</v>
      </c>
      <c r="W139" s="1" t="str">
        <f t="shared" si="15"/>
        <v>OK</v>
      </c>
    </row>
    <row r="140" spans="1:23">
      <c r="A140" s="1">
        <v>56758</v>
      </c>
      <c r="B140" s="10">
        <v>45723</v>
      </c>
      <c r="C140" s="1">
        <v>14</v>
      </c>
      <c r="D140" s="1" t="s">
        <v>78</v>
      </c>
      <c r="E140" s="1" t="s">
        <v>72</v>
      </c>
      <c r="F140" s="1" t="s">
        <v>64</v>
      </c>
      <c r="G140" s="1" t="s">
        <v>81</v>
      </c>
      <c r="H140" s="1" t="s">
        <v>90</v>
      </c>
      <c r="I140" s="1" t="s">
        <v>172</v>
      </c>
      <c r="J140" s="24">
        <v>315.61</v>
      </c>
      <c r="K140" s="24">
        <v>500.97</v>
      </c>
      <c r="L140" s="28">
        <v>185.36</v>
      </c>
      <c r="M140" s="1">
        <v>44</v>
      </c>
      <c r="N140" s="28">
        <v>22042.68</v>
      </c>
      <c r="O140" s="29">
        <v>0</v>
      </c>
      <c r="P140" s="28">
        <v>0</v>
      </c>
      <c r="Q140" s="28">
        <v>22042.68</v>
      </c>
      <c r="R140" s="1" t="str">
        <f t="shared" si="12"/>
        <v>Mar</v>
      </c>
      <c r="S140" s="28">
        <f t="shared" si="16"/>
        <v>13886.84</v>
      </c>
      <c r="T140" s="28">
        <f t="shared" si="17"/>
        <v>8155.84</v>
      </c>
      <c r="U140" s="11">
        <f t="shared" si="13"/>
        <v>0.37000219574026388</v>
      </c>
      <c r="V140" s="1" t="str">
        <f t="shared" si="14"/>
        <v>Slow</v>
      </c>
      <c r="W140" s="1" t="str">
        <f t="shared" si="15"/>
        <v>OK</v>
      </c>
    </row>
    <row r="141" spans="1:23">
      <c r="A141" s="1">
        <v>56759</v>
      </c>
      <c r="B141" s="10">
        <v>45723</v>
      </c>
      <c r="C141" s="1">
        <v>17</v>
      </c>
      <c r="D141" s="1" t="s">
        <v>57</v>
      </c>
      <c r="E141" s="1" t="s">
        <v>87</v>
      </c>
      <c r="F141" s="1" t="s">
        <v>73</v>
      </c>
      <c r="G141" s="1" t="s">
        <v>60</v>
      </c>
      <c r="H141" s="1" t="s">
        <v>68</v>
      </c>
      <c r="I141" s="1" t="s">
        <v>173</v>
      </c>
      <c r="J141" s="24">
        <v>5.19</v>
      </c>
      <c r="K141" s="24">
        <v>12.98</v>
      </c>
      <c r="L141" s="28">
        <v>7.79</v>
      </c>
      <c r="M141" s="1">
        <v>37</v>
      </c>
      <c r="N141" s="28">
        <v>480.26</v>
      </c>
      <c r="O141" s="29">
        <v>0.04</v>
      </c>
      <c r="P141" s="28">
        <v>19.2104</v>
      </c>
      <c r="Q141" s="28">
        <v>461.0496</v>
      </c>
      <c r="R141" s="1" t="str">
        <f t="shared" si="12"/>
        <v>Mar</v>
      </c>
      <c r="S141" s="28">
        <f t="shared" si="16"/>
        <v>192.03</v>
      </c>
      <c r="T141" s="28">
        <f t="shared" si="17"/>
        <v>269.01959999999997</v>
      </c>
      <c r="U141" s="11">
        <f t="shared" si="13"/>
        <v>0.58349383667180266</v>
      </c>
      <c r="V141" s="1" t="str">
        <f t="shared" si="14"/>
        <v>Very Slow</v>
      </c>
      <c r="W141" s="1" t="str">
        <f t="shared" si="15"/>
        <v>OK</v>
      </c>
    </row>
    <row r="142" spans="1:23">
      <c r="A142" s="1">
        <v>56760</v>
      </c>
      <c r="B142" s="10">
        <v>45723</v>
      </c>
      <c r="C142" s="1">
        <v>16</v>
      </c>
      <c r="D142" s="1" t="s">
        <v>57</v>
      </c>
      <c r="E142" s="1" t="s">
        <v>58</v>
      </c>
      <c r="F142" s="1" t="s">
        <v>96</v>
      </c>
      <c r="G142" s="1" t="s">
        <v>81</v>
      </c>
      <c r="H142" s="1" t="s">
        <v>68</v>
      </c>
      <c r="I142" s="1" t="s">
        <v>174</v>
      </c>
      <c r="J142" s="24">
        <v>219.61</v>
      </c>
      <c r="K142" s="24">
        <v>535.64</v>
      </c>
      <c r="L142" s="28">
        <v>316.02999999999997</v>
      </c>
      <c r="M142" s="1">
        <v>1</v>
      </c>
      <c r="N142" s="28">
        <v>535.64</v>
      </c>
      <c r="O142" s="29">
        <v>0.05</v>
      </c>
      <c r="P142" s="28">
        <v>26.782</v>
      </c>
      <c r="Q142" s="28">
        <v>508.858</v>
      </c>
      <c r="R142" s="1" t="str">
        <f t="shared" si="12"/>
        <v>Mar</v>
      </c>
      <c r="S142" s="28">
        <f t="shared" si="16"/>
        <v>219.61</v>
      </c>
      <c r="T142" s="28">
        <f t="shared" si="17"/>
        <v>289.24799999999999</v>
      </c>
      <c r="U142" s="11">
        <f t="shared" si="13"/>
        <v>0.56842576907506615</v>
      </c>
      <c r="V142" s="1" t="str">
        <f t="shared" si="14"/>
        <v>Very Slow</v>
      </c>
      <c r="W142" s="1" t="str">
        <f t="shared" si="15"/>
        <v>OK</v>
      </c>
    </row>
    <row r="143" spans="1:23">
      <c r="A143" s="1">
        <v>56761</v>
      </c>
      <c r="B143" s="10">
        <v>45724</v>
      </c>
      <c r="C143" s="1">
        <v>19</v>
      </c>
      <c r="D143" s="1" t="s">
        <v>78</v>
      </c>
      <c r="E143" s="1" t="s">
        <v>87</v>
      </c>
      <c r="F143" s="1" t="s">
        <v>96</v>
      </c>
      <c r="G143" s="1" t="s">
        <v>81</v>
      </c>
      <c r="H143" s="1" t="s">
        <v>68</v>
      </c>
      <c r="I143" s="1" t="s">
        <v>132</v>
      </c>
      <c r="J143" s="24">
        <v>1.87</v>
      </c>
      <c r="K143" s="24">
        <v>8.1199999999999992</v>
      </c>
      <c r="L143" s="28">
        <v>6.2499999999999991</v>
      </c>
      <c r="M143" s="1">
        <v>40</v>
      </c>
      <c r="N143" s="28">
        <v>324.8</v>
      </c>
      <c r="O143" s="29">
        <v>0.1</v>
      </c>
      <c r="P143" s="28">
        <v>32.479999999999997</v>
      </c>
      <c r="Q143" s="28">
        <v>292.31999999999988</v>
      </c>
      <c r="R143" s="1" t="str">
        <f t="shared" si="12"/>
        <v>Mar</v>
      </c>
      <c r="S143" s="28">
        <f t="shared" si="16"/>
        <v>74.800000000000011</v>
      </c>
      <c r="T143" s="28">
        <f t="shared" si="17"/>
        <v>217.51999999999987</v>
      </c>
      <c r="U143" s="11">
        <f t="shared" si="13"/>
        <v>0.74411603721948538</v>
      </c>
      <c r="V143" s="1" t="str">
        <f t="shared" si="14"/>
        <v>Very Slow</v>
      </c>
      <c r="W143" s="1" t="str">
        <f t="shared" si="15"/>
        <v>OK</v>
      </c>
    </row>
    <row r="144" spans="1:23">
      <c r="A144" s="1">
        <v>56762</v>
      </c>
      <c r="B144" s="10">
        <v>45724</v>
      </c>
      <c r="C144" s="1">
        <v>21</v>
      </c>
      <c r="D144" s="1" t="s">
        <v>78</v>
      </c>
      <c r="E144" s="1" t="s">
        <v>58</v>
      </c>
      <c r="F144" s="1" t="s">
        <v>73</v>
      </c>
      <c r="G144" s="1" t="s">
        <v>60</v>
      </c>
      <c r="H144" s="1" t="s">
        <v>68</v>
      </c>
      <c r="I144" s="1" t="s">
        <v>175</v>
      </c>
      <c r="J144" s="24">
        <v>4.79</v>
      </c>
      <c r="K144" s="24">
        <v>11.97</v>
      </c>
      <c r="L144" s="28">
        <v>7.1800000000000006</v>
      </c>
      <c r="M144" s="1">
        <v>29</v>
      </c>
      <c r="N144" s="28">
        <v>347.13</v>
      </c>
      <c r="O144" s="29">
        <v>0.03</v>
      </c>
      <c r="P144" s="28">
        <v>10.4139</v>
      </c>
      <c r="Q144" s="28">
        <v>336.71609999999998</v>
      </c>
      <c r="R144" s="1" t="str">
        <f t="shared" si="12"/>
        <v>Mar</v>
      </c>
      <c r="S144" s="28">
        <f t="shared" si="16"/>
        <v>138.91</v>
      </c>
      <c r="T144" s="28">
        <f t="shared" si="17"/>
        <v>197.80609999999999</v>
      </c>
      <c r="U144" s="11">
        <f t="shared" si="13"/>
        <v>0.58745661404370031</v>
      </c>
      <c r="V144" s="1" t="str">
        <f t="shared" si="14"/>
        <v>Very Slow</v>
      </c>
      <c r="W144" s="1" t="str">
        <f t="shared" si="15"/>
        <v>OK</v>
      </c>
    </row>
    <row r="145" spans="1:23">
      <c r="A145" s="1">
        <v>56763</v>
      </c>
      <c r="B145" s="10">
        <v>45724</v>
      </c>
      <c r="C145" s="1">
        <v>13</v>
      </c>
      <c r="D145" s="1" t="s">
        <v>57</v>
      </c>
      <c r="E145" s="1" t="s">
        <v>87</v>
      </c>
      <c r="F145" s="1" t="s">
        <v>64</v>
      </c>
      <c r="G145" s="1" t="s">
        <v>81</v>
      </c>
      <c r="H145" s="1" t="s">
        <v>90</v>
      </c>
      <c r="I145" s="1" t="s">
        <v>132</v>
      </c>
      <c r="J145" s="24">
        <v>1.87</v>
      </c>
      <c r="K145" s="24">
        <v>8.1199999999999992</v>
      </c>
      <c r="L145" s="28">
        <v>6.2499999999999991</v>
      </c>
      <c r="M145" s="1">
        <v>46</v>
      </c>
      <c r="N145" s="28">
        <v>373.52</v>
      </c>
      <c r="O145" s="29">
        <v>7.0000000000000007E-2</v>
      </c>
      <c r="P145" s="28">
        <v>26.1464</v>
      </c>
      <c r="Q145" s="28">
        <v>347.37360000000001</v>
      </c>
      <c r="R145" s="1" t="str">
        <f t="shared" si="12"/>
        <v>Mar</v>
      </c>
      <c r="S145" s="28">
        <f t="shared" si="16"/>
        <v>86.02000000000001</v>
      </c>
      <c r="T145" s="28">
        <f t="shared" si="17"/>
        <v>261.35360000000003</v>
      </c>
      <c r="U145" s="11">
        <f t="shared" si="13"/>
        <v>0.75237035859950219</v>
      </c>
      <c r="V145" s="1" t="str">
        <f t="shared" si="14"/>
        <v>Slow</v>
      </c>
      <c r="W145" s="1" t="str">
        <f t="shared" si="15"/>
        <v>OK</v>
      </c>
    </row>
    <row r="146" spans="1:23">
      <c r="A146" s="1">
        <v>56764</v>
      </c>
      <c r="B146" s="10">
        <v>45724</v>
      </c>
      <c r="C146" s="1">
        <v>12</v>
      </c>
      <c r="D146" s="1" t="s">
        <v>78</v>
      </c>
      <c r="E146" s="1" t="s">
        <v>58</v>
      </c>
      <c r="F146" s="1" t="s">
        <v>79</v>
      </c>
      <c r="G146" s="1" t="s">
        <v>60</v>
      </c>
      <c r="H146" s="1" t="s">
        <v>68</v>
      </c>
      <c r="I146" s="1" t="s">
        <v>140</v>
      </c>
      <c r="J146" s="24">
        <v>99.39</v>
      </c>
      <c r="K146" s="24">
        <v>162.93</v>
      </c>
      <c r="L146" s="28">
        <v>63.540000000000013</v>
      </c>
      <c r="M146" s="1">
        <v>47</v>
      </c>
      <c r="N146" s="28">
        <v>7657.71</v>
      </c>
      <c r="O146" s="29">
        <v>0.04</v>
      </c>
      <c r="P146" s="28">
        <v>306.30840000000001</v>
      </c>
      <c r="Q146" s="28">
        <v>7351.4016000000001</v>
      </c>
      <c r="R146" s="1" t="str">
        <f t="shared" si="12"/>
        <v>Mar</v>
      </c>
      <c r="S146" s="28">
        <f t="shared" si="16"/>
        <v>4671.33</v>
      </c>
      <c r="T146" s="28">
        <f t="shared" si="17"/>
        <v>2680.0716000000002</v>
      </c>
      <c r="U146" s="11">
        <f t="shared" si="13"/>
        <v>0.36456607131897134</v>
      </c>
      <c r="V146" s="1" t="str">
        <f t="shared" si="14"/>
        <v>Slow</v>
      </c>
      <c r="W146" s="1" t="str">
        <f t="shared" si="15"/>
        <v>OK</v>
      </c>
    </row>
    <row r="147" spans="1:23">
      <c r="A147" s="1">
        <v>56765</v>
      </c>
      <c r="B147" s="10">
        <v>45725</v>
      </c>
      <c r="C147" s="1">
        <v>4</v>
      </c>
      <c r="D147" s="1" t="s">
        <v>57</v>
      </c>
      <c r="E147" s="1" t="s">
        <v>67</v>
      </c>
      <c r="F147" s="1" t="s">
        <v>18</v>
      </c>
      <c r="G147" s="1" t="s">
        <v>81</v>
      </c>
      <c r="H147" s="1" t="s">
        <v>61</v>
      </c>
      <c r="I147" s="1" t="s">
        <v>113</v>
      </c>
      <c r="J147" s="24">
        <v>8.31</v>
      </c>
      <c r="K147" s="24">
        <v>15.98</v>
      </c>
      <c r="L147" s="28">
        <v>7.67</v>
      </c>
      <c r="M147" s="1">
        <v>5</v>
      </c>
      <c r="N147" s="28">
        <v>79.900000000000006</v>
      </c>
      <c r="O147" s="29">
        <v>0.09</v>
      </c>
      <c r="P147" s="28">
        <v>7.1909999999999998</v>
      </c>
      <c r="Q147" s="28">
        <v>72.709000000000003</v>
      </c>
      <c r="R147" s="1" t="str">
        <f t="shared" si="12"/>
        <v>Mar</v>
      </c>
      <c r="S147" s="28">
        <f t="shared" si="16"/>
        <v>41.550000000000004</v>
      </c>
      <c r="T147" s="28">
        <f t="shared" si="17"/>
        <v>31.158999999999999</v>
      </c>
      <c r="U147" s="11">
        <f t="shared" si="13"/>
        <v>0.42854392166031713</v>
      </c>
      <c r="V147" s="1" t="str">
        <f t="shared" si="14"/>
        <v>Standard</v>
      </c>
      <c r="W147" s="1" t="str">
        <f t="shared" si="15"/>
        <v>OK</v>
      </c>
    </row>
    <row r="148" spans="1:23">
      <c r="A148" s="1">
        <v>56766</v>
      </c>
      <c r="B148" s="10">
        <v>45725</v>
      </c>
      <c r="C148" s="1">
        <v>12</v>
      </c>
      <c r="D148" s="1" t="s">
        <v>57</v>
      </c>
      <c r="E148" s="1" t="s">
        <v>72</v>
      </c>
      <c r="F148" s="1" t="s">
        <v>73</v>
      </c>
      <c r="G148" s="1" t="s">
        <v>60</v>
      </c>
      <c r="H148" s="1" t="s">
        <v>65</v>
      </c>
      <c r="I148" s="1" t="s">
        <v>176</v>
      </c>
      <c r="J148" s="24">
        <v>3.84</v>
      </c>
      <c r="K148" s="24">
        <v>6.3</v>
      </c>
      <c r="L148" s="28">
        <v>2.46</v>
      </c>
      <c r="M148" s="1">
        <v>33</v>
      </c>
      <c r="N148" s="28">
        <v>207.9</v>
      </c>
      <c r="O148" s="29">
        <v>0.04</v>
      </c>
      <c r="P148" s="28">
        <v>8.3160000000000007</v>
      </c>
      <c r="Q148" s="28">
        <v>199.584</v>
      </c>
      <c r="R148" s="1" t="str">
        <f t="shared" si="12"/>
        <v>Mar</v>
      </c>
      <c r="S148" s="28">
        <f t="shared" si="16"/>
        <v>126.72</v>
      </c>
      <c r="T148" s="28">
        <f t="shared" si="17"/>
        <v>72.864000000000004</v>
      </c>
      <c r="U148" s="11">
        <f t="shared" si="13"/>
        <v>0.36507936507936511</v>
      </c>
      <c r="V148" s="1" t="str">
        <f t="shared" si="14"/>
        <v>Slow</v>
      </c>
      <c r="W148" s="1" t="str">
        <f t="shared" si="15"/>
        <v>OK</v>
      </c>
    </row>
    <row r="149" spans="1:23">
      <c r="A149" s="1">
        <v>56767</v>
      </c>
      <c r="B149" s="10">
        <v>45726</v>
      </c>
      <c r="C149" s="1">
        <v>2</v>
      </c>
      <c r="D149" s="1" t="s">
        <v>63</v>
      </c>
      <c r="E149" s="1" t="s">
        <v>58</v>
      </c>
      <c r="F149" s="1" t="s">
        <v>75</v>
      </c>
      <c r="G149" s="1" t="s">
        <v>60</v>
      </c>
      <c r="H149" s="1" t="s">
        <v>90</v>
      </c>
      <c r="I149" s="1" t="s">
        <v>80</v>
      </c>
      <c r="J149" s="24">
        <v>4.46</v>
      </c>
      <c r="K149" s="24">
        <v>10.89</v>
      </c>
      <c r="L149" s="28">
        <v>6.4300000000000006</v>
      </c>
      <c r="M149" s="1">
        <v>21</v>
      </c>
      <c r="N149" s="28">
        <v>228.69</v>
      </c>
      <c r="O149" s="29">
        <v>0.03</v>
      </c>
      <c r="P149" s="28">
        <v>6.8606999999999996</v>
      </c>
      <c r="Q149" s="28">
        <v>221.82929999999999</v>
      </c>
      <c r="R149" s="1" t="str">
        <f t="shared" si="12"/>
        <v>Mar</v>
      </c>
      <c r="S149" s="28">
        <f t="shared" si="16"/>
        <v>93.66</v>
      </c>
      <c r="T149" s="28">
        <f t="shared" si="17"/>
        <v>128.16929999999999</v>
      </c>
      <c r="U149" s="11">
        <f t="shared" si="13"/>
        <v>0.57778345782094609</v>
      </c>
      <c r="V149" s="1" t="str">
        <f t="shared" si="14"/>
        <v>Fast</v>
      </c>
      <c r="W149" s="1" t="str">
        <f t="shared" si="15"/>
        <v>OK</v>
      </c>
    </row>
    <row r="150" spans="1:23">
      <c r="A150" s="1">
        <v>56768</v>
      </c>
      <c r="B150" s="10">
        <v>45726</v>
      </c>
      <c r="C150" s="1">
        <v>7</v>
      </c>
      <c r="D150" s="1" t="s">
        <v>57</v>
      </c>
      <c r="E150" s="1" t="s">
        <v>58</v>
      </c>
      <c r="F150" s="1" t="s">
        <v>100</v>
      </c>
      <c r="G150" s="1" t="s">
        <v>60</v>
      </c>
      <c r="H150" s="1" t="s">
        <v>65</v>
      </c>
      <c r="I150" s="1" t="s">
        <v>169</v>
      </c>
      <c r="J150" s="24">
        <v>0.94</v>
      </c>
      <c r="K150" s="24">
        <v>2.08</v>
      </c>
      <c r="L150" s="28">
        <v>1.1399999999999999</v>
      </c>
      <c r="M150" s="1">
        <v>33</v>
      </c>
      <c r="N150" s="28">
        <v>68.64</v>
      </c>
      <c r="O150" s="29">
        <v>0.05</v>
      </c>
      <c r="P150" s="28">
        <v>3.4319999999999999</v>
      </c>
      <c r="Q150" s="28">
        <v>65.207999999999998</v>
      </c>
      <c r="R150" s="1" t="str">
        <f t="shared" si="12"/>
        <v>Mar</v>
      </c>
      <c r="S150" s="28">
        <f t="shared" si="16"/>
        <v>31.02</v>
      </c>
      <c r="T150" s="28">
        <f t="shared" si="17"/>
        <v>34.188000000000002</v>
      </c>
      <c r="U150" s="11">
        <f t="shared" si="13"/>
        <v>0.52429149797570851</v>
      </c>
      <c r="V150" s="1" t="str">
        <f t="shared" si="14"/>
        <v>Standard</v>
      </c>
      <c r="W150" s="1" t="str">
        <f t="shared" si="15"/>
        <v>OK</v>
      </c>
    </row>
    <row r="151" spans="1:23">
      <c r="A151" s="1">
        <v>56769</v>
      </c>
      <c r="B151" s="10">
        <v>45726</v>
      </c>
      <c r="C151" s="1">
        <v>18</v>
      </c>
      <c r="D151" s="1" t="s">
        <v>78</v>
      </c>
      <c r="E151" s="1" t="s">
        <v>87</v>
      </c>
      <c r="F151" s="1" t="s">
        <v>73</v>
      </c>
      <c r="G151" s="1" t="s">
        <v>81</v>
      </c>
      <c r="H151" s="1" t="s">
        <v>65</v>
      </c>
      <c r="I151" s="1" t="s">
        <v>130</v>
      </c>
      <c r="J151" s="24">
        <v>156.5</v>
      </c>
      <c r="K151" s="24">
        <v>300.97000000000003</v>
      </c>
      <c r="L151" s="28">
        <v>144.47</v>
      </c>
      <c r="M151" s="1">
        <v>41</v>
      </c>
      <c r="N151" s="28">
        <v>12339.77</v>
      </c>
      <c r="O151" s="29">
        <v>0.08</v>
      </c>
      <c r="P151" s="28">
        <v>987.1816</v>
      </c>
      <c r="Q151" s="28">
        <v>11352.588400000001</v>
      </c>
      <c r="R151" s="1" t="str">
        <f t="shared" si="12"/>
        <v>Mar</v>
      </c>
      <c r="S151" s="28">
        <f t="shared" si="16"/>
        <v>6416.5</v>
      </c>
      <c r="T151" s="28">
        <f t="shared" si="17"/>
        <v>4936.0884000000005</v>
      </c>
      <c r="U151" s="11">
        <f t="shared" si="13"/>
        <v>0.43479849934487191</v>
      </c>
      <c r="V151" s="1" t="str">
        <f t="shared" si="14"/>
        <v>Very Slow</v>
      </c>
      <c r="W151" s="1" t="str">
        <f t="shared" si="15"/>
        <v>OK</v>
      </c>
    </row>
    <row r="152" spans="1:23">
      <c r="A152" s="1">
        <v>56770</v>
      </c>
      <c r="B152" s="10">
        <v>45727</v>
      </c>
      <c r="C152" s="1">
        <v>3</v>
      </c>
      <c r="D152" s="1" t="s">
        <v>57</v>
      </c>
      <c r="E152" s="1" t="s">
        <v>87</v>
      </c>
      <c r="F152" s="1" t="s">
        <v>88</v>
      </c>
      <c r="G152" s="1" t="s">
        <v>60</v>
      </c>
      <c r="H152" s="1" t="s">
        <v>61</v>
      </c>
      <c r="I152" s="1" t="s">
        <v>177</v>
      </c>
      <c r="J152" s="24">
        <v>4.4800000000000004</v>
      </c>
      <c r="K152" s="24">
        <v>8.14</v>
      </c>
      <c r="L152" s="28">
        <v>3.66</v>
      </c>
      <c r="M152" s="1">
        <v>21</v>
      </c>
      <c r="N152" s="28">
        <v>170.94</v>
      </c>
      <c r="O152" s="29">
        <v>7.0000000000000007E-2</v>
      </c>
      <c r="P152" s="28">
        <v>11.9658</v>
      </c>
      <c r="Q152" s="28">
        <v>158.9742</v>
      </c>
      <c r="R152" s="1" t="str">
        <f t="shared" si="12"/>
        <v>Mar</v>
      </c>
      <c r="S152" s="28">
        <f t="shared" si="16"/>
        <v>94.080000000000013</v>
      </c>
      <c r="T152" s="28">
        <f t="shared" si="17"/>
        <v>64.894199999999984</v>
      </c>
      <c r="U152" s="11">
        <f t="shared" si="13"/>
        <v>0.40820585981876295</v>
      </c>
      <c r="V152" s="1" t="str">
        <f t="shared" si="14"/>
        <v>Fast</v>
      </c>
      <c r="W152" s="1" t="str">
        <f t="shared" si="15"/>
        <v>OK</v>
      </c>
    </row>
    <row r="153" spans="1:23">
      <c r="A153" s="1">
        <v>56771</v>
      </c>
      <c r="B153" s="10">
        <v>45727</v>
      </c>
      <c r="C153" s="1">
        <v>8</v>
      </c>
      <c r="D153" s="1" t="s">
        <v>57</v>
      </c>
      <c r="E153" s="1" t="s">
        <v>72</v>
      </c>
      <c r="F153" s="1" t="s">
        <v>88</v>
      </c>
      <c r="G153" s="1" t="s">
        <v>60</v>
      </c>
      <c r="H153" s="1" t="s">
        <v>61</v>
      </c>
      <c r="I153" s="1" t="s">
        <v>123</v>
      </c>
      <c r="J153" s="24">
        <v>1.18</v>
      </c>
      <c r="K153" s="24">
        <v>1.88</v>
      </c>
      <c r="L153" s="28">
        <v>0.7</v>
      </c>
      <c r="M153" s="1">
        <v>28</v>
      </c>
      <c r="N153" s="28">
        <v>52.64</v>
      </c>
      <c r="O153" s="29">
        <v>0.05</v>
      </c>
      <c r="P153" s="28">
        <v>2.6320000000000001</v>
      </c>
      <c r="Q153" s="28">
        <v>50.008000000000003</v>
      </c>
      <c r="R153" s="1" t="str">
        <f t="shared" si="12"/>
        <v>Mar</v>
      </c>
      <c r="S153" s="28">
        <f t="shared" si="16"/>
        <v>33.04</v>
      </c>
      <c r="T153" s="28">
        <f t="shared" si="17"/>
        <v>16.968000000000004</v>
      </c>
      <c r="U153" s="11">
        <f t="shared" si="13"/>
        <v>0.33930571108622626</v>
      </c>
      <c r="V153" s="1" t="str">
        <f t="shared" si="14"/>
        <v>Slow</v>
      </c>
      <c r="W153" s="1" t="str">
        <f t="shared" si="15"/>
        <v>OK</v>
      </c>
    </row>
    <row r="154" spans="1:23">
      <c r="A154" s="1">
        <v>56772</v>
      </c>
      <c r="B154" s="10">
        <v>45728</v>
      </c>
      <c r="C154" s="1">
        <v>5</v>
      </c>
      <c r="D154" s="1" t="s">
        <v>57</v>
      </c>
      <c r="E154" s="1" t="s">
        <v>67</v>
      </c>
      <c r="F154" s="1" t="s">
        <v>18</v>
      </c>
      <c r="G154" s="1" t="s">
        <v>60</v>
      </c>
      <c r="H154" s="1" t="s">
        <v>90</v>
      </c>
      <c r="I154" s="1" t="s">
        <v>124</v>
      </c>
      <c r="J154" s="24">
        <v>2.25</v>
      </c>
      <c r="K154" s="24">
        <v>3.69</v>
      </c>
      <c r="L154" s="28">
        <v>1.44</v>
      </c>
      <c r="M154" s="1">
        <v>13</v>
      </c>
      <c r="N154" s="28">
        <v>47.97</v>
      </c>
      <c r="O154" s="29">
        <v>0.05</v>
      </c>
      <c r="P154" s="28">
        <v>2.3984999999999999</v>
      </c>
      <c r="Q154" s="28">
        <v>45.5715</v>
      </c>
      <c r="R154" s="1" t="str">
        <f t="shared" si="12"/>
        <v>Mar</v>
      </c>
      <c r="S154" s="28">
        <f t="shared" si="16"/>
        <v>29.25</v>
      </c>
      <c r="T154" s="28">
        <f t="shared" si="17"/>
        <v>16.3215</v>
      </c>
      <c r="U154" s="11">
        <f t="shared" si="13"/>
        <v>0.35815147625160465</v>
      </c>
      <c r="V154" s="1" t="str">
        <f t="shared" si="14"/>
        <v>Standard</v>
      </c>
      <c r="W154" s="1" t="str">
        <f t="shared" si="15"/>
        <v>OK</v>
      </c>
    </row>
    <row r="155" spans="1:23">
      <c r="A155" s="1">
        <v>56773</v>
      </c>
      <c r="B155" s="10">
        <v>45729</v>
      </c>
      <c r="C155" s="1">
        <v>22</v>
      </c>
      <c r="D155" s="1" t="s">
        <v>63</v>
      </c>
      <c r="E155" s="1" t="s">
        <v>87</v>
      </c>
      <c r="F155" s="1" t="s">
        <v>75</v>
      </c>
      <c r="G155" s="1" t="s">
        <v>81</v>
      </c>
      <c r="H155" s="1" t="s">
        <v>65</v>
      </c>
      <c r="I155" s="1" t="s">
        <v>150</v>
      </c>
      <c r="J155" s="24">
        <v>8.82</v>
      </c>
      <c r="K155" s="24">
        <v>20.99</v>
      </c>
      <c r="L155" s="28">
        <v>12.17</v>
      </c>
      <c r="M155" s="1">
        <v>3</v>
      </c>
      <c r="N155" s="28">
        <v>62.97</v>
      </c>
      <c r="O155" s="29">
        <v>0.01</v>
      </c>
      <c r="P155" s="28">
        <v>0.62970000000000004</v>
      </c>
      <c r="Q155" s="28">
        <v>62.340299999999999</v>
      </c>
      <c r="R155" s="1" t="str">
        <f t="shared" si="12"/>
        <v>Mar</v>
      </c>
      <c r="S155" s="28">
        <f t="shared" si="16"/>
        <v>26.46</v>
      </c>
      <c r="T155" s="28">
        <f t="shared" si="17"/>
        <v>35.880299999999998</v>
      </c>
      <c r="U155" s="11">
        <f t="shared" si="13"/>
        <v>0.57555545930962793</v>
      </c>
      <c r="V155" s="1" t="str">
        <f t="shared" si="14"/>
        <v>Very Slow</v>
      </c>
      <c r="W155" s="1" t="str">
        <f t="shared" si="15"/>
        <v>OK</v>
      </c>
    </row>
    <row r="156" spans="1:23">
      <c r="A156" s="1">
        <v>56774</v>
      </c>
      <c r="B156" s="10">
        <v>45729</v>
      </c>
      <c r="C156" s="1">
        <v>7</v>
      </c>
      <c r="D156" s="1" t="s">
        <v>57</v>
      </c>
      <c r="E156" s="1" t="s">
        <v>87</v>
      </c>
      <c r="F156" s="1" t="s">
        <v>75</v>
      </c>
      <c r="G156" s="1" t="s">
        <v>60</v>
      </c>
      <c r="H156" s="1" t="s">
        <v>65</v>
      </c>
      <c r="I156" s="1" t="s">
        <v>107</v>
      </c>
      <c r="J156" s="24">
        <v>13.88</v>
      </c>
      <c r="K156" s="24">
        <v>22.38</v>
      </c>
      <c r="L156" s="28">
        <v>8.4999999999999982</v>
      </c>
      <c r="M156" s="1">
        <v>47</v>
      </c>
      <c r="N156" s="28">
        <v>1051.8599999999999</v>
      </c>
      <c r="O156" s="29">
        <v>7.0000000000000007E-2</v>
      </c>
      <c r="P156" s="28">
        <v>73.630200000000002</v>
      </c>
      <c r="Q156" s="28">
        <v>978.22979999999984</v>
      </c>
      <c r="R156" s="1" t="str">
        <f t="shared" si="12"/>
        <v>Mar</v>
      </c>
      <c r="S156" s="28">
        <f t="shared" si="16"/>
        <v>652.36</v>
      </c>
      <c r="T156" s="28">
        <f t="shared" si="17"/>
        <v>325.86979999999983</v>
      </c>
      <c r="U156" s="11">
        <f t="shared" si="13"/>
        <v>0.33312193106364157</v>
      </c>
      <c r="V156" s="1" t="str">
        <f t="shared" si="14"/>
        <v>Standard</v>
      </c>
      <c r="W156" s="1" t="str">
        <f t="shared" si="15"/>
        <v>OK</v>
      </c>
    </row>
    <row r="157" spans="1:23">
      <c r="A157" s="1">
        <v>56775</v>
      </c>
      <c r="B157" s="10">
        <v>45729</v>
      </c>
      <c r="C157" s="1">
        <v>11</v>
      </c>
      <c r="D157" s="1" t="s">
        <v>57</v>
      </c>
      <c r="E157" s="1" t="s">
        <v>58</v>
      </c>
      <c r="F157" s="1" t="s">
        <v>75</v>
      </c>
      <c r="G157" s="1" t="s">
        <v>81</v>
      </c>
      <c r="H157" s="1" t="s">
        <v>65</v>
      </c>
      <c r="I157" s="1" t="s">
        <v>139</v>
      </c>
      <c r="J157" s="24">
        <v>6.39</v>
      </c>
      <c r="K157" s="24">
        <v>19.98</v>
      </c>
      <c r="L157" s="28">
        <v>13.59</v>
      </c>
      <c r="M157" s="1">
        <v>43</v>
      </c>
      <c r="N157" s="28">
        <v>859.14</v>
      </c>
      <c r="O157" s="29">
        <v>0.06</v>
      </c>
      <c r="P157" s="28">
        <v>51.548399999999987</v>
      </c>
      <c r="Q157" s="28">
        <v>807.59159999999997</v>
      </c>
      <c r="R157" s="1" t="str">
        <f t="shared" si="12"/>
        <v>Mar</v>
      </c>
      <c r="S157" s="28">
        <f t="shared" si="16"/>
        <v>274.77</v>
      </c>
      <c r="T157" s="28">
        <f t="shared" si="17"/>
        <v>532.82159999999999</v>
      </c>
      <c r="U157" s="11">
        <f t="shared" si="13"/>
        <v>0.65976614912785125</v>
      </c>
      <c r="V157" s="1" t="str">
        <f t="shared" si="14"/>
        <v>Slow</v>
      </c>
      <c r="W157" s="1" t="str">
        <f t="shared" si="15"/>
        <v>OK</v>
      </c>
    </row>
    <row r="158" spans="1:23">
      <c r="A158" s="1">
        <v>56776</v>
      </c>
      <c r="B158" s="10">
        <v>45730</v>
      </c>
      <c r="C158" s="1">
        <v>20</v>
      </c>
      <c r="D158" s="1" t="s">
        <v>78</v>
      </c>
      <c r="E158" s="1" t="s">
        <v>72</v>
      </c>
      <c r="F158" s="1" t="s">
        <v>98</v>
      </c>
      <c r="G158" s="1" t="s">
        <v>60</v>
      </c>
      <c r="H158" s="1" t="s">
        <v>61</v>
      </c>
      <c r="I158" s="1" t="s">
        <v>178</v>
      </c>
      <c r="J158" s="24">
        <v>2.41</v>
      </c>
      <c r="K158" s="24">
        <v>3.71</v>
      </c>
      <c r="L158" s="28">
        <v>1.3</v>
      </c>
      <c r="M158" s="1">
        <v>13</v>
      </c>
      <c r="N158" s="28">
        <v>48.23</v>
      </c>
      <c r="O158" s="29">
        <v>0.09</v>
      </c>
      <c r="P158" s="28">
        <v>4.3406999999999991</v>
      </c>
      <c r="Q158" s="28">
        <v>43.889299999999999</v>
      </c>
      <c r="R158" s="1" t="str">
        <f t="shared" si="12"/>
        <v>Mar</v>
      </c>
      <c r="S158" s="28">
        <f t="shared" si="16"/>
        <v>31.330000000000002</v>
      </c>
      <c r="T158" s="28">
        <f t="shared" si="17"/>
        <v>12.559299999999997</v>
      </c>
      <c r="U158" s="11">
        <f t="shared" si="13"/>
        <v>0.28615858534995997</v>
      </c>
      <c r="V158" s="1" t="str">
        <f t="shared" si="14"/>
        <v>Very Slow</v>
      </c>
      <c r="W158" s="1" t="str">
        <f t="shared" si="15"/>
        <v>OK</v>
      </c>
    </row>
    <row r="159" spans="1:23">
      <c r="A159" s="1">
        <v>56777</v>
      </c>
      <c r="B159" s="10">
        <v>45731</v>
      </c>
      <c r="C159" s="1">
        <v>7</v>
      </c>
      <c r="D159" s="1" t="s">
        <v>78</v>
      </c>
      <c r="E159" s="1" t="s">
        <v>58</v>
      </c>
      <c r="F159" s="1" t="s">
        <v>88</v>
      </c>
      <c r="G159" s="1" t="s">
        <v>60</v>
      </c>
      <c r="H159" s="1" t="s">
        <v>65</v>
      </c>
      <c r="I159" s="1" t="s">
        <v>173</v>
      </c>
      <c r="J159" s="24">
        <v>5.19</v>
      </c>
      <c r="K159" s="24">
        <v>12.98</v>
      </c>
      <c r="L159" s="28">
        <v>7.79</v>
      </c>
      <c r="M159" s="1">
        <v>51</v>
      </c>
      <c r="N159" s="28">
        <v>661.98</v>
      </c>
      <c r="O159" s="29">
        <v>0.08</v>
      </c>
      <c r="P159" s="28">
        <v>52.958399999999997</v>
      </c>
      <c r="Q159" s="28">
        <v>609.02160000000003</v>
      </c>
      <c r="R159" s="1" t="str">
        <f t="shared" si="12"/>
        <v>Mar</v>
      </c>
      <c r="S159" s="28">
        <f t="shared" si="16"/>
        <v>264.69</v>
      </c>
      <c r="T159" s="28">
        <f t="shared" si="17"/>
        <v>344.33160000000004</v>
      </c>
      <c r="U159" s="11">
        <f t="shared" si="13"/>
        <v>0.56538487304883767</v>
      </c>
      <c r="V159" s="1" t="str">
        <f t="shared" si="14"/>
        <v>Standard</v>
      </c>
      <c r="W159" s="1" t="str">
        <f t="shared" si="15"/>
        <v>OK</v>
      </c>
    </row>
    <row r="160" spans="1:23">
      <c r="A160" s="1">
        <v>56778</v>
      </c>
      <c r="B160" s="10">
        <v>45731</v>
      </c>
      <c r="C160" s="1">
        <v>17</v>
      </c>
      <c r="D160" s="1" t="s">
        <v>57</v>
      </c>
      <c r="E160" s="1" t="s">
        <v>72</v>
      </c>
      <c r="F160" s="1" t="s">
        <v>108</v>
      </c>
      <c r="G160" s="1" t="s">
        <v>60</v>
      </c>
      <c r="H160" s="1" t="s">
        <v>61</v>
      </c>
      <c r="I160" s="1" t="s">
        <v>91</v>
      </c>
      <c r="J160" s="24">
        <v>0.93</v>
      </c>
      <c r="K160" s="24">
        <v>1.48</v>
      </c>
      <c r="L160" s="28">
        <v>0.54999999999999993</v>
      </c>
      <c r="M160" s="1">
        <v>32</v>
      </c>
      <c r="N160" s="28">
        <v>47.36</v>
      </c>
      <c r="O160" s="29">
        <v>0</v>
      </c>
      <c r="P160" s="28">
        <v>0</v>
      </c>
      <c r="Q160" s="28">
        <v>47.36</v>
      </c>
      <c r="R160" s="1" t="str">
        <f t="shared" si="12"/>
        <v>Mar</v>
      </c>
      <c r="S160" s="28">
        <f t="shared" si="16"/>
        <v>29.76</v>
      </c>
      <c r="T160" s="28">
        <f t="shared" si="17"/>
        <v>17.599999999999998</v>
      </c>
      <c r="U160" s="11">
        <f t="shared" si="13"/>
        <v>0.3716216216216216</v>
      </c>
      <c r="V160" s="1" t="str">
        <f t="shared" si="14"/>
        <v>Very Slow</v>
      </c>
      <c r="W160" s="1" t="str">
        <f t="shared" si="15"/>
        <v>OK</v>
      </c>
    </row>
    <row r="161" spans="1:23">
      <c r="A161" s="1">
        <v>56779</v>
      </c>
      <c r="B161" s="10">
        <v>45732</v>
      </c>
      <c r="C161" s="1">
        <v>3</v>
      </c>
      <c r="D161" s="1" t="s">
        <v>63</v>
      </c>
      <c r="E161" s="1" t="s">
        <v>72</v>
      </c>
      <c r="F161" s="1" t="s">
        <v>73</v>
      </c>
      <c r="G161" s="1" t="s">
        <v>81</v>
      </c>
      <c r="H161" s="1" t="s">
        <v>90</v>
      </c>
      <c r="I161" s="1" t="s">
        <v>104</v>
      </c>
      <c r="J161" s="24">
        <v>76.790000000000006</v>
      </c>
      <c r="K161" s="24">
        <v>119.99</v>
      </c>
      <c r="L161" s="28">
        <v>43.199999999999989</v>
      </c>
      <c r="M161" s="1">
        <v>13</v>
      </c>
      <c r="N161" s="28">
        <v>1559.87</v>
      </c>
      <c r="O161" s="29">
        <v>0.04</v>
      </c>
      <c r="P161" s="28">
        <v>62.394799999999996</v>
      </c>
      <c r="Q161" s="28">
        <v>1497.4752000000001</v>
      </c>
      <c r="R161" s="1" t="str">
        <f t="shared" si="12"/>
        <v>Mar</v>
      </c>
      <c r="S161" s="28">
        <f t="shared" si="16"/>
        <v>998.2700000000001</v>
      </c>
      <c r="T161" s="28">
        <f t="shared" si="17"/>
        <v>499.20519999999999</v>
      </c>
      <c r="U161" s="11">
        <f t="shared" si="13"/>
        <v>0.33336458593771701</v>
      </c>
      <c r="V161" s="1" t="str">
        <f t="shared" si="14"/>
        <v>Fast</v>
      </c>
      <c r="W161" s="1" t="str">
        <f t="shared" si="15"/>
        <v>OK</v>
      </c>
    </row>
    <row r="162" spans="1:23">
      <c r="A162" s="1">
        <v>56780</v>
      </c>
      <c r="B162" s="10">
        <v>45733</v>
      </c>
      <c r="C162" s="1">
        <v>4</v>
      </c>
      <c r="D162" s="1" t="s">
        <v>57</v>
      </c>
      <c r="E162" s="1" t="s">
        <v>87</v>
      </c>
      <c r="F162" s="1" t="s">
        <v>73</v>
      </c>
      <c r="G162" s="1" t="s">
        <v>60</v>
      </c>
      <c r="H162" s="1" t="s">
        <v>90</v>
      </c>
      <c r="I162" s="1" t="s">
        <v>178</v>
      </c>
      <c r="J162" s="24">
        <v>2.41</v>
      </c>
      <c r="K162" s="24">
        <v>3.71</v>
      </c>
      <c r="L162" s="28">
        <v>1.3</v>
      </c>
      <c r="M162" s="1">
        <v>16</v>
      </c>
      <c r="N162" s="28">
        <v>59.36</v>
      </c>
      <c r="O162" s="29">
        <v>0.1</v>
      </c>
      <c r="P162" s="28">
        <v>5.9359999999999999</v>
      </c>
      <c r="Q162" s="28">
        <v>53.423999999999999</v>
      </c>
      <c r="R162" s="1" t="str">
        <f t="shared" si="12"/>
        <v>Mar</v>
      </c>
      <c r="S162" s="28">
        <f t="shared" si="16"/>
        <v>38.56</v>
      </c>
      <c r="T162" s="28">
        <f t="shared" si="17"/>
        <v>14.863999999999997</v>
      </c>
      <c r="U162" s="11">
        <f t="shared" si="13"/>
        <v>0.27822701407607064</v>
      </c>
      <c r="V162" s="1" t="str">
        <f t="shared" si="14"/>
        <v>Standard</v>
      </c>
      <c r="W162" s="1" t="str">
        <f t="shared" si="15"/>
        <v>OK</v>
      </c>
    </row>
    <row r="163" spans="1:23">
      <c r="A163" s="1">
        <v>56781</v>
      </c>
      <c r="B163" s="10">
        <v>45733</v>
      </c>
      <c r="C163" s="1">
        <v>18</v>
      </c>
      <c r="D163" s="1" t="s">
        <v>57</v>
      </c>
      <c r="E163" s="1" t="s">
        <v>72</v>
      </c>
      <c r="F163" s="1" t="s">
        <v>75</v>
      </c>
      <c r="G163" s="1" t="s">
        <v>60</v>
      </c>
      <c r="H163" s="1" t="s">
        <v>61</v>
      </c>
      <c r="I163" s="1" t="s">
        <v>179</v>
      </c>
      <c r="J163" s="24">
        <v>0.71</v>
      </c>
      <c r="K163" s="24">
        <v>1.1399999999999999</v>
      </c>
      <c r="L163" s="28">
        <v>0.42999999999999988</v>
      </c>
      <c r="M163" s="1">
        <v>42</v>
      </c>
      <c r="N163" s="28">
        <v>47.88</v>
      </c>
      <c r="O163" s="29">
        <v>0.06</v>
      </c>
      <c r="P163" s="28">
        <v>2.8727999999999998</v>
      </c>
      <c r="Q163" s="28">
        <v>45.007199999999997</v>
      </c>
      <c r="R163" s="1" t="str">
        <f t="shared" si="12"/>
        <v>Mar</v>
      </c>
      <c r="S163" s="28">
        <f t="shared" si="16"/>
        <v>29.82</v>
      </c>
      <c r="T163" s="28">
        <f t="shared" si="17"/>
        <v>15.187199999999997</v>
      </c>
      <c r="U163" s="11">
        <f t="shared" si="13"/>
        <v>0.33743934303844714</v>
      </c>
      <c r="V163" s="1" t="str">
        <f t="shared" si="14"/>
        <v>Very Slow</v>
      </c>
      <c r="W163" s="1" t="str">
        <f t="shared" si="15"/>
        <v>OK</v>
      </c>
    </row>
    <row r="164" spans="1:23">
      <c r="A164" s="1">
        <v>56782</v>
      </c>
      <c r="B164" s="10">
        <v>45733</v>
      </c>
      <c r="C164" s="1">
        <v>15</v>
      </c>
      <c r="D164" s="1" t="s">
        <v>57</v>
      </c>
      <c r="E164" s="1" t="s">
        <v>87</v>
      </c>
      <c r="F164" s="1" t="s">
        <v>73</v>
      </c>
      <c r="G164" s="1" t="s">
        <v>60</v>
      </c>
      <c r="H164" s="1" t="s">
        <v>68</v>
      </c>
      <c r="I164" s="1" t="s">
        <v>126</v>
      </c>
      <c r="J164" s="24">
        <v>1.0900000000000001</v>
      </c>
      <c r="K164" s="24">
        <v>2.6</v>
      </c>
      <c r="L164" s="28">
        <v>1.51</v>
      </c>
      <c r="M164" s="1">
        <v>33</v>
      </c>
      <c r="N164" s="28">
        <v>85.8</v>
      </c>
      <c r="O164" s="29">
        <v>0.09</v>
      </c>
      <c r="P164" s="28">
        <v>7.7220000000000004</v>
      </c>
      <c r="Q164" s="28">
        <v>78.078000000000003</v>
      </c>
      <c r="R164" s="1" t="str">
        <f t="shared" si="12"/>
        <v>Mar</v>
      </c>
      <c r="S164" s="28">
        <f t="shared" si="16"/>
        <v>35.970000000000006</v>
      </c>
      <c r="T164" s="28">
        <f t="shared" si="17"/>
        <v>42.107999999999997</v>
      </c>
      <c r="U164" s="11">
        <f t="shared" si="13"/>
        <v>0.53930684699915465</v>
      </c>
      <c r="V164" s="1" t="str">
        <f t="shared" si="14"/>
        <v>Very Slow</v>
      </c>
      <c r="W164" s="1" t="str">
        <f t="shared" si="15"/>
        <v>OK</v>
      </c>
    </row>
    <row r="165" spans="1:23">
      <c r="A165" s="1">
        <v>56783</v>
      </c>
      <c r="B165" s="10">
        <v>45734</v>
      </c>
      <c r="C165" s="1">
        <v>14</v>
      </c>
      <c r="D165" s="1" t="s">
        <v>78</v>
      </c>
      <c r="E165" s="1" t="s">
        <v>72</v>
      </c>
      <c r="F165" s="1" t="s">
        <v>59</v>
      </c>
      <c r="G165" s="1" t="s">
        <v>85</v>
      </c>
      <c r="H165" s="1" t="s">
        <v>70</v>
      </c>
      <c r="I165" s="1" t="s">
        <v>86</v>
      </c>
      <c r="J165" s="24">
        <v>5.5</v>
      </c>
      <c r="K165" s="24">
        <v>12.22</v>
      </c>
      <c r="L165" s="28">
        <v>6.7200000000000006</v>
      </c>
      <c r="M165" s="1">
        <v>20</v>
      </c>
      <c r="N165" s="28">
        <v>244.4</v>
      </c>
      <c r="O165" s="29">
        <v>0.09</v>
      </c>
      <c r="P165" s="28">
        <v>21.995999999999999</v>
      </c>
      <c r="Q165" s="28">
        <v>222.404</v>
      </c>
      <c r="R165" s="1" t="str">
        <f t="shared" si="12"/>
        <v>Mar</v>
      </c>
      <c r="S165" s="28">
        <f t="shared" si="16"/>
        <v>110</v>
      </c>
      <c r="T165" s="28">
        <f t="shared" si="17"/>
        <v>112.404</v>
      </c>
      <c r="U165" s="11">
        <f t="shared" si="13"/>
        <v>0.50540457905433356</v>
      </c>
      <c r="V165" s="1" t="str">
        <f t="shared" si="14"/>
        <v>Slow</v>
      </c>
      <c r="W165" s="1" t="str">
        <f t="shared" si="15"/>
        <v>OK</v>
      </c>
    </row>
    <row r="166" spans="1:23">
      <c r="A166" s="1">
        <v>56784</v>
      </c>
      <c r="B166" s="10">
        <v>45734</v>
      </c>
      <c r="C166" s="1">
        <v>10</v>
      </c>
      <c r="D166" s="1" t="s">
        <v>57</v>
      </c>
      <c r="E166" s="1" t="s">
        <v>72</v>
      </c>
      <c r="F166" s="1" t="s">
        <v>73</v>
      </c>
      <c r="G166" s="1" t="s">
        <v>81</v>
      </c>
      <c r="H166" s="1" t="s">
        <v>65</v>
      </c>
      <c r="I166" s="1" t="s">
        <v>113</v>
      </c>
      <c r="J166" s="24">
        <v>10.07</v>
      </c>
      <c r="K166" s="24">
        <v>15.98</v>
      </c>
      <c r="L166" s="28">
        <v>5.91</v>
      </c>
      <c r="M166" s="1">
        <v>8</v>
      </c>
      <c r="N166" s="28">
        <v>127.84</v>
      </c>
      <c r="O166" s="29">
        <v>0.04</v>
      </c>
      <c r="P166" s="28">
        <v>5.1135999999999999</v>
      </c>
      <c r="Q166" s="28">
        <v>122.7264</v>
      </c>
      <c r="R166" s="1" t="str">
        <f t="shared" si="12"/>
        <v>Mar</v>
      </c>
      <c r="S166" s="28">
        <f t="shared" si="16"/>
        <v>80.56</v>
      </c>
      <c r="T166" s="28">
        <f t="shared" si="17"/>
        <v>42.166399999999996</v>
      </c>
      <c r="U166" s="11">
        <f t="shared" si="13"/>
        <v>0.3435805173133083</v>
      </c>
      <c r="V166" s="1" t="str">
        <f t="shared" si="14"/>
        <v>Slow</v>
      </c>
      <c r="W166" s="1" t="str">
        <f t="shared" si="15"/>
        <v>OK</v>
      </c>
    </row>
    <row r="167" spans="1:23">
      <c r="A167" s="1">
        <v>56785</v>
      </c>
      <c r="B167" s="10">
        <v>45735</v>
      </c>
      <c r="C167" s="1">
        <v>20</v>
      </c>
      <c r="D167" s="1" t="s">
        <v>57</v>
      </c>
      <c r="E167" s="1" t="s">
        <v>87</v>
      </c>
      <c r="F167" s="1" t="s">
        <v>18</v>
      </c>
      <c r="G167" s="1" t="s">
        <v>81</v>
      </c>
      <c r="H167" s="1" t="s">
        <v>68</v>
      </c>
      <c r="I167" s="1" t="s">
        <v>92</v>
      </c>
      <c r="J167" s="24">
        <v>39.64</v>
      </c>
      <c r="K167" s="24">
        <v>152.47999999999999</v>
      </c>
      <c r="L167" s="28">
        <v>112.84</v>
      </c>
      <c r="M167" s="1">
        <v>33</v>
      </c>
      <c r="N167" s="28">
        <v>5031.8399999999992</v>
      </c>
      <c r="O167" s="29">
        <v>0.1</v>
      </c>
      <c r="P167" s="28">
        <v>503.18400000000003</v>
      </c>
      <c r="Q167" s="28">
        <v>4528.655999999999</v>
      </c>
      <c r="R167" s="1" t="str">
        <f t="shared" si="12"/>
        <v>Mar</v>
      </c>
      <c r="S167" s="28">
        <f t="shared" si="16"/>
        <v>1308.1200000000001</v>
      </c>
      <c r="T167" s="28">
        <f t="shared" si="17"/>
        <v>3220.5359999999991</v>
      </c>
      <c r="U167" s="11">
        <f t="shared" si="13"/>
        <v>0.711146088375889</v>
      </c>
      <c r="V167" s="1" t="str">
        <f t="shared" si="14"/>
        <v>Very Slow</v>
      </c>
      <c r="W167" s="1" t="str">
        <f t="shared" si="15"/>
        <v>OK</v>
      </c>
    </row>
    <row r="168" spans="1:23">
      <c r="A168" s="1">
        <v>56786</v>
      </c>
      <c r="B168" s="10">
        <v>45735</v>
      </c>
      <c r="C168" s="1">
        <v>5</v>
      </c>
      <c r="D168" s="1" t="s">
        <v>57</v>
      </c>
      <c r="E168" s="1" t="s">
        <v>72</v>
      </c>
      <c r="F168" s="1" t="s">
        <v>98</v>
      </c>
      <c r="G168" s="1" t="s">
        <v>60</v>
      </c>
      <c r="H168" s="1" t="s">
        <v>65</v>
      </c>
      <c r="I168" s="1" t="s">
        <v>114</v>
      </c>
      <c r="J168" s="24">
        <v>2.59</v>
      </c>
      <c r="K168" s="24">
        <v>3.98</v>
      </c>
      <c r="L168" s="28">
        <v>1.39</v>
      </c>
      <c r="M168" s="1">
        <v>40</v>
      </c>
      <c r="N168" s="28">
        <v>159.19999999999999</v>
      </c>
      <c r="O168" s="29">
        <v>0.1</v>
      </c>
      <c r="P168" s="28">
        <v>15.92</v>
      </c>
      <c r="Q168" s="28">
        <v>143.28</v>
      </c>
      <c r="R168" s="1" t="str">
        <f t="shared" si="12"/>
        <v>Mar</v>
      </c>
      <c r="S168" s="28">
        <f t="shared" si="16"/>
        <v>103.6</v>
      </c>
      <c r="T168" s="28">
        <f t="shared" si="17"/>
        <v>39.680000000000007</v>
      </c>
      <c r="U168" s="11">
        <f t="shared" si="13"/>
        <v>0.27694025683975437</v>
      </c>
      <c r="V168" s="1" t="str">
        <f t="shared" si="14"/>
        <v>Standard</v>
      </c>
      <c r="W168" s="1" t="str">
        <f t="shared" si="15"/>
        <v>OK</v>
      </c>
    </row>
    <row r="169" spans="1:23">
      <c r="A169" s="1">
        <v>56787</v>
      </c>
      <c r="B169" s="10">
        <v>45735</v>
      </c>
      <c r="C169" s="1">
        <v>3</v>
      </c>
      <c r="D169" s="1" t="s">
        <v>57</v>
      </c>
      <c r="E169" s="1" t="s">
        <v>87</v>
      </c>
      <c r="F169" s="1" t="s">
        <v>96</v>
      </c>
      <c r="G169" s="1" t="s">
        <v>60</v>
      </c>
      <c r="H169" s="1" t="s">
        <v>68</v>
      </c>
      <c r="I169" s="1" t="s">
        <v>142</v>
      </c>
      <c r="J169" s="24">
        <v>2.29</v>
      </c>
      <c r="K169" s="24">
        <v>3.69</v>
      </c>
      <c r="L169" s="28">
        <v>1.4</v>
      </c>
      <c r="M169" s="1">
        <v>4</v>
      </c>
      <c r="N169" s="28">
        <v>14.76</v>
      </c>
      <c r="O169" s="29">
        <v>0.01</v>
      </c>
      <c r="P169" s="28">
        <v>0.14760000000000001</v>
      </c>
      <c r="Q169" s="28">
        <v>14.612399999999999</v>
      </c>
      <c r="R169" s="1" t="str">
        <f t="shared" si="12"/>
        <v>Mar</v>
      </c>
      <c r="S169" s="28">
        <f t="shared" si="16"/>
        <v>9.16</v>
      </c>
      <c r="T169" s="28">
        <f t="shared" si="17"/>
        <v>5.452399999999999</v>
      </c>
      <c r="U169" s="11">
        <f t="shared" si="13"/>
        <v>0.37313514549286902</v>
      </c>
      <c r="V169" s="1" t="str">
        <f t="shared" si="14"/>
        <v>Fast</v>
      </c>
      <c r="W169" s="1" t="str">
        <f t="shared" si="15"/>
        <v>OK</v>
      </c>
    </row>
    <row r="170" spans="1:23">
      <c r="A170" s="1">
        <v>56788</v>
      </c>
      <c r="B170" s="10">
        <v>45735</v>
      </c>
      <c r="C170" s="1">
        <v>15</v>
      </c>
      <c r="D170" s="1" t="s">
        <v>78</v>
      </c>
      <c r="E170" s="1" t="s">
        <v>67</v>
      </c>
      <c r="F170" s="1" t="s">
        <v>59</v>
      </c>
      <c r="G170" s="1" t="s">
        <v>60</v>
      </c>
      <c r="H170" s="1" t="s">
        <v>90</v>
      </c>
      <c r="I170" s="1" t="s">
        <v>134</v>
      </c>
      <c r="J170" s="24">
        <v>5.33</v>
      </c>
      <c r="K170" s="24">
        <v>8.6</v>
      </c>
      <c r="L170" s="28">
        <v>3.27</v>
      </c>
      <c r="M170" s="1">
        <v>5</v>
      </c>
      <c r="N170" s="28">
        <v>43</v>
      </c>
      <c r="O170" s="29">
        <v>0.04</v>
      </c>
      <c r="P170" s="28">
        <v>1.72</v>
      </c>
      <c r="Q170" s="28">
        <v>41.28</v>
      </c>
      <c r="R170" s="1" t="str">
        <f t="shared" si="12"/>
        <v>Mar</v>
      </c>
      <c r="S170" s="28">
        <f t="shared" si="16"/>
        <v>26.65</v>
      </c>
      <c r="T170" s="28">
        <f t="shared" si="17"/>
        <v>14.630000000000003</v>
      </c>
      <c r="U170" s="11">
        <f t="shared" si="13"/>
        <v>0.35440891472868224</v>
      </c>
      <c r="V170" s="1" t="str">
        <f t="shared" si="14"/>
        <v>Very Slow</v>
      </c>
      <c r="W170" s="1" t="str">
        <f t="shared" si="15"/>
        <v>OK</v>
      </c>
    </row>
    <row r="171" spans="1:23">
      <c r="A171" s="1">
        <v>56789</v>
      </c>
      <c r="B171" s="10">
        <v>45736</v>
      </c>
      <c r="C171" s="1">
        <v>21</v>
      </c>
      <c r="D171" s="1" t="s">
        <v>57</v>
      </c>
      <c r="E171" s="1" t="s">
        <v>58</v>
      </c>
      <c r="F171" s="1" t="s">
        <v>108</v>
      </c>
      <c r="G171" s="1" t="s">
        <v>60</v>
      </c>
      <c r="H171" s="1" t="s">
        <v>61</v>
      </c>
      <c r="I171" s="1" t="s">
        <v>106</v>
      </c>
      <c r="J171" s="24">
        <v>1.53</v>
      </c>
      <c r="K171" s="24">
        <v>2.78</v>
      </c>
      <c r="L171" s="28">
        <v>1.25</v>
      </c>
      <c r="M171" s="1">
        <v>44</v>
      </c>
      <c r="N171" s="28">
        <v>122.32</v>
      </c>
      <c r="O171" s="29">
        <v>0</v>
      </c>
      <c r="P171" s="28">
        <v>0</v>
      </c>
      <c r="Q171" s="28">
        <v>122.32</v>
      </c>
      <c r="R171" s="1" t="str">
        <f t="shared" si="12"/>
        <v>Mar</v>
      </c>
      <c r="S171" s="28">
        <f t="shared" si="16"/>
        <v>67.320000000000007</v>
      </c>
      <c r="T171" s="28">
        <f t="shared" si="17"/>
        <v>54.999999999999986</v>
      </c>
      <c r="U171" s="11">
        <f t="shared" si="13"/>
        <v>0.4496402877697841</v>
      </c>
      <c r="V171" s="1" t="str">
        <f t="shared" si="14"/>
        <v>Very Slow</v>
      </c>
      <c r="W171" s="1" t="str">
        <f t="shared" si="15"/>
        <v>OK</v>
      </c>
    </row>
    <row r="172" spans="1:23">
      <c r="A172" s="1">
        <v>56790</v>
      </c>
      <c r="B172" s="10">
        <v>45737</v>
      </c>
      <c r="C172" s="1">
        <v>14</v>
      </c>
      <c r="D172" s="1" t="s">
        <v>78</v>
      </c>
      <c r="E172" s="1" t="s">
        <v>72</v>
      </c>
      <c r="F172" s="1" t="s">
        <v>96</v>
      </c>
      <c r="G172" s="1" t="s">
        <v>81</v>
      </c>
      <c r="H172" s="1" t="s">
        <v>61</v>
      </c>
      <c r="I172" s="1" t="s">
        <v>92</v>
      </c>
      <c r="J172" s="24">
        <v>32.020000000000003</v>
      </c>
      <c r="K172" s="24">
        <v>152.47999999999999</v>
      </c>
      <c r="L172" s="28">
        <v>120.46</v>
      </c>
      <c r="M172" s="1">
        <v>25</v>
      </c>
      <c r="N172" s="28">
        <v>3812</v>
      </c>
      <c r="O172" s="29">
        <v>0.03</v>
      </c>
      <c r="P172" s="28">
        <v>114.36</v>
      </c>
      <c r="Q172" s="28">
        <v>3697.639999999999</v>
      </c>
      <c r="R172" s="1" t="str">
        <f t="shared" si="12"/>
        <v>Mar</v>
      </c>
      <c r="S172" s="28">
        <f t="shared" si="16"/>
        <v>800.50000000000011</v>
      </c>
      <c r="T172" s="28">
        <f t="shared" si="17"/>
        <v>2897.139999999999</v>
      </c>
      <c r="U172" s="11">
        <f t="shared" si="13"/>
        <v>0.78351056349455317</v>
      </c>
      <c r="V172" s="1" t="str">
        <f t="shared" si="14"/>
        <v>Slow</v>
      </c>
      <c r="W172" s="1" t="str">
        <f t="shared" si="15"/>
        <v>OK</v>
      </c>
    </row>
    <row r="173" spans="1:23">
      <c r="A173" s="1">
        <v>56791</v>
      </c>
      <c r="B173" s="10">
        <v>45737</v>
      </c>
      <c r="C173" s="1">
        <v>12</v>
      </c>
      <c r="D173" s="1" t="s">
        <v>57</v>
      </c>
      <c r="E173" s="1" t="s">
        <v>87</v>
      </c>
      <c r="F173" s="1" t="s">
        <v>79</v>
      </c>
      <c r="G173" s="1" t="s">
        <v>60</v>
      </c>
      <c r="H173" s="1" t="s">
        <v>90</v>
      </c>
      <c r="I173" s="1" t="s">
        <v>180</v>
      </c>
      <c r="J173" s="24">
        <v>54.29</v>
      </c>
      <c r="K173" s="24">
        <v>90.48</v>
      </c>
      <c r="L173" s="28">
        <v>36.19</v>
      </c>
      <c r="M173" s="1">
        <v>23</v>
      </c>
      <c r="N173" s="28">
        <v>2081.04</v>
      </c>
      <c r="O173" s="29">
        <v>0</v>
      </c>
      <c r="P173" s="28">
        <v>0</v>
      </c>
      <c r="Q173" s="28">
        <v>2081.04</v>
      </c>
      <c r="R173" s="1" t="str">
        <f t="shared" si="12"/>
        <v>Mar</v>
      </c>
      <c r="S173" s="28">
        <f t="shared" si="16"/>
        <v>1248.67</v>
      </c>
      <c r="T173" s="28">
        <f t="shared" si="17"/>
        <v>832.36999999999989</v>
      </c>
      <c r="U173" s="11">
        <f t="shared" si="13"/>
        <v>0.39997789566755082</v>
      </c>
      <c r="V173" s="1" t="str">
        <f t="shared" si="14"/>
        <v>Slow</v>
      </c>
      <c r="W173" s="1" t="str">
        <f t="shared" si="15"/>
        <v>OK</v>
      </c>
    </row>
    <row r="174" spans="1:23">
      <c r="A174" s="1">
        <v>56792</v>
      </c>
      <c r="B174" s="10">
        <v>45738</v>
      </c>
      <c r="C174" s="1">
        <v>9</v>
      </c>
      <c r="D174" s="1" t="s">
        <v>57</v>
      </c>
      <c r="E174" s="1" t="s">
        <v>72</v>
      </c>
      <c r="F174" s="1" t="s">
        <v>84</v>
      </c>
      <c r="G174" s="1" t="s">
        <v>81</v>
      </c>
      <c r="H174" s="1" t="s">
        <v>90</v>
      </c>
      <c r="I174" s="1" t="s">
        <v>110</v>
      </c>
      <c r="J174" s="24">
        <v>278.99</v>
      </c>
      <c r="K174" s="24">
        <v>449.99</v>
      </c>
      <c r="L174" s="28">
        <v>171</v>
      </c>
      <c r="M174" s="1">
        <v>28</v>
      </c>
      <c r="N174" s="28">
        <v>12599.72</v>
      </c>
      <c r="O174" s="29">
        <v>0.01</v>
      </c>
      <c r="P174" s="28">
        <v>125.99720000000001</v>
      </c>
      <c r="Q174" s="28">
        <v>12473.7228</v>
      </c>
      <c r="R174" s="1" t="str">
        <f t="shared" si="12"/>
        <v>Mar</v>
      </c>
      <c r="S174" s="28">
        <f t="shared" si="16"/>
        <v>7811.72</v>
      </c>
      <c r="T174" s="28">
        <f t="shared" si="17"/>
        <v>4662.0027999999993</v>
      </c>
      <c r="U174" s="11">
        <f t="shared" si="13"/>
        <v>0.37374590366879079</v>
      </c>
      <c r="V174" s="1" t="str">
        <f t="shared" si="14"/>
        <v>Slow</v>
      </c>
      <c r="W174" s="1" t="str">
        <f t="shared" si="15"/>
        <v>OK</v>
      </c>
    </row>
    <row r="175" spans="1:23">
      <c r="A175" s="1">
        <v>56793</v>
      </c>
      <c r="B175" s="10">
        <v>45738</v>
      </c>
      <c r="C175" s="1">
        <v>21</v>
      </c>
      <c r="D175" s="1" t="s">
        <v>63</v>
      </c>
      <c r="E175" s="1" t="s">
        <v>72</v>
      </c>
      <c r="F175" s="1" t="s">
        <v>75</v>
      </c>
      <c r="G175" s="1" t="s">
        <v>60</v>
      </c>
      <c r="H175" s="1" t="s">
        <v>65</v>
      </c>
      <c r="I175" s="1" t="s">
        <v>159</v>
      </c>
      <c r="J175" s="24">
        <v>13.64</v>
      </c>
      <c r="K175" s="24">
        <v>20.98</v>
      </c>
      <c r="L175" s="28">
        <v>7.34</v>
      </c>
      <c r="M175" s="1">
        <v>35</v>
      </c>
      <c r="N175" s="28">
        <v>734.30000000000007</v>
      </c>
      <c r="O175" s="29">
        <v>0.09</v>
      </c>
      <c r="P175" s="28">
        <v>66.087000000000003</v>
      </c>
      <c r="Q175" s="28">
        <v>668.21300000000008</v>
      </c>
      <c r="R175" s="1" t="str">
        <f t="shared" si="12"/>
        <v>Mar</v>
      </c>
      <c r="S175" s="28">
        <f t="shared" si="16"/>
        <v>477.40000000000003</v>
      </c>
      <c r="T175" s="28">
        <f t="shared" si="17"/>
        <v>190.81300000000005</v>
      </c>
      <c r="U175" s="11">
        <f t="shared" si="13"/>
        <v>0.285557150190134</v>
      </c>
      <c r="V175" s="1" t="str">
        <f t="shared" si="14"/>
        <v>Very Slow</v>
      </c>
      <c r="W175" s="1" t="str">
        <f t="shared" si="15"/>
        <v>OK</v>
      </c>
    </row>
    <row r="176" spans="1:23">
      <c r="A176" s="1">
        <v>56794</v>
      </c>
      <c r="B176" s="10">
        <v>45738</v>
      </c>
      <c r="C176" s="1">
        <v>7</v>
      </c>
      <c r="D176" s="1" t="s">
        <v>78</v>
      </c>
      <c r="E176" s="1" t="s">
        <v>72</v>
      </c>
      <c r="F176" s="1" t="s">
        <v>18</v>
      </c>
      <c r="G176" s="1" t="s">
        <v>60</v>
      </c>
      <c r="H176" s="1" t="s">
        <v>68</v>
      </c>
      <c r="I176" s="1" t="s">
        <v>181</v>
      </c>
      <c r="J176" s="24">
        <v>3.48</v>
      </c>
      <c r="K176" s="24">
        <v>5.43</v>
      </c>
      <c r="L176" s="28">
        <v>1.95</v>
      </c>
      <c r="M176" s="1">
        <v>2</v>
      </c>
      <c r="N176" s="28">
        <v>10.86</v>
      </c>
      <c r="O176" s="29">
        <v>0.1</v>
      </c>
      <c r="P176" s="28">
        <v>1.0860000000000001</v>
      </c>
      <c r="Q176" s="28">
        <v>9.7739999999999991</v>
      </c>
      <c r="R176" s="1" t="str">
        <f t="shared" si="12"/>
        <v>Mar</v>
      </c>
      <c r="S176" s="28">
        <f t="shared" si="16"/>
        <v>6.96</v>
      </c>
      <c r="T176" s="28">
        <f t="shared" si="17"/>
        <v>2.8139999999999992</v>
      </c>
      <c r="U176" s="11">
        <f t="shared" si="13"/>
        <v>0.28790669122160828</v>
      </c>
      <c r="V176" s="1" t="str">
        <f t="shared" si="14"/>
        <v>Standard</v>
      </c>
      <c r="W176" s="1" t="str">
        <f t="shared" si="15"/>
        <v>OK</v>
      </c>
    </row>
    <row r="177" spans="1:23">
      <c r="A177" s="1">
        <v>56795</v>
      </c>
      <c r="B177" s="10">
        <v>45739</v>
      </c>
      <c r="C177" s="1">
        <v>16</v>
      </c>
      <c r="D177" s="1" t="s">
        <v>78</v>
      </c>
      <c r="E177" s="1" t="s">
        <v>87</v>
      </c>
      <c r="F177" s="1" t="s">
        <v>59</v>
      </c>
      <c r="G177" s="1" t="s">
        <v>60</v>
      </c>
      <c r="H177" s="1" t="s">
        <v>90</v>
      </c>
      <c r="I177" s="1" t="s">
        <v>182</v>
      </c>
      <c r="J177" s="24">
        <v>1.19</v>
      </c>
      <c r="K177" s="24">
        <v>1.98</v>
      </c>
      <c r="L177" s="28">
        <v>0.79</v>
      </c>
      <c r="M177" s="1">
        <v>14</v>
      </c>
      <c r="N177" s="28">
        <v>27.72</v>
      </c>
      <c r="O177" s="29">
        <v>7.0000000000000007E-2</v>
      </c>
      <c r="P177" s="28">
        <v>1.9403999999999999</v>
      </c>
      <c r="Q177" s="28">
        <v>25.779599999999999</v>
      </c>
      <c r="R177" s="1" t="str">
        <f t="shared" si="12"/>
        <v>Mar</v>
      </c>
      <c r="S177" s="28">
        <f t="shared" si="16"/>
        <v>16.66</v>
      </c>
      <c r="T177" s="28">
        <f t="shared" si="17"/>
        <v>9.1195999999999984</v>
      </c>
      <c r="U177" s="11">
        <f t="shared" si="13"/>
        <v>0.35375257955903111</v>
      </c>
      <c r="V177" s="1" t="str">
        <f t="shared" si="14"/>
        <v>Very Slow</v>
      </c>
      <c r="W177" s="1" t="str">
        <f t="shared" si="15"/>
        <v>OK</v>
      </c>
    </row>
    <row r="178" spans="1:23">
      <c r="A178" s="1">
        <v>56796</v>
      </c>
      <c r="B178" s="10">
        <v>45739</v>
      </c>
      <c r="C178" s="1">
        <v>20</v>
      </c>
      <c r="D178" s="1" t="s">
        <v>57</v>
      </c>
      <c r="E178" s="1" t="s">
        <v>72</v>
      </c>
      <c r="F178" s="1" t="s">
        <v>84</v>
      </c>
      <c r="G178" s="1" t="s">
        <v>85</v>
      </c>
      <c r="H178" s="1" t="s">
        <v>90</v>
      </c>
      <c r="I178" s="1" t="s">
        <v>170</v>
      </c>
      <c r="J178" s="24">
        <v>56.16</v>
      </c>
      <c r="K178" s="24">
        <v>136.97999999999999</v>
      </c>
      <c r="L178" s="28">
        <v>80.819999999999993</v>
      </c>
      <c r="M178" s="1">
        <v>3</v>
      </c>
      <c r="N178" s="28">
        <v>410.93999999999988</v>
      </c>
      <c r="O178" s="29">
        <v>0.08</v>
      </c>
      <c r="P178" s="28">
        <v>32.875199999999992</v>
      </c>
      <c r="Q178" s="28">
        <v>378.06479999999988</v>
      </c>
      <c r="R178" s="1" t="str">
        <f t="shared" si="12"/>
        <v>Mar</v>
      </c>
      <c r="S178" s="28">
        <f t="shared" si="16"/>
        <v>168.48</v>
      </c>
      <c r="T178" s="28">
        <f t="shared" si="17"/>
        <v>209.58479999999989</v>
      </c>
      <c r="U178" s="11">
        <f t="shared" si="13"/>
        <v>0.55436210935268226</v>
      </c>
      <c r="V178" s="1" t="str">
        <f t="shared" si="14"/>
        <v>Very Slow</v>
      </c>
      <c r="W178" s="1" t="str">
        <f t="shared" si="15"/>
        <v>OK</v>
      </c>
    </row>
    <row r="179" spans="1:23">
      <c r="A179" s="1">
        <v>56797</v>
      </c>
      <c r="B179" s="10">
        <v>45739</v>
      </c>
      <c r="C179" s="1">
        <v>23</v>
      </c>
      <c r="D179" s="1" t="s">
        <v>57</v>
      </c>
      <c r="E179" s="1" t="s">
        <v>87</v>
      </c>
      <c r="F179" s="1" t="s">
        <v>75</v>
      </c>
      <c r="G179" s="1" t="s">
        <v>60</v>
      </c>
      <c r="H179" s="1" t="s">
        <v>65</v>
      </c>
      <c r="I179" s="1" t="s">
        <v>136</v>
      </c>
      <c r="J179" s="24">
        <v>18.38</v>
      </c>
      <c r="K179" s="24">
        <v>29.17</v>
      </c>
      <c r="L179" s="28">
        <v>10.79</v>
      </c>
      <c r="M179" s="1">
        <v>45</v>
      </c>
      <c r="N179" s="28">
        <v>1312.65</v>
      </c>
      <c r="O179" s="29">
        <v>0.05</v>
      </c>
      <c r="P179" s="28">
        <v>65.632500000000007</v>
      </c>
      <c r="Q179" s="28">
        <v>1247.0174999999999</v>
      </c>
      <c r="R179" s="1" t="str">
        <f t="shared" si="12"/>
        <v>Mar</v>
      </c>
      <c r="S179" s="28">
        <f t="shared" si="16"/>
        <v>827.09999999999991</v>
      </c>
      <c r="T179" s="28">
        <f t="shared" si="17"/>
        <v>419.91750000000002</v>
      </c>
      <c r="U179" s="11">
        <f t="shared" si="13"/>
        <v>0.33673745556898765</v>
      </c>
      <c r="V179" s="1" t="str">
        <f t="shared" si="14"/>
        <v>Very Slow</v>
      </c>
      <c r="W179" s="1" t="str">
        <f t="shared" si="15"/>
        <v>OK</v>
      </c>
    </row>
    <row r="180" spans="1:23">
      <c r="A180" s="1">
        <v>56798</v>
      </c>
      <c r="B180" s="10">
        <v>45740</v>
      </c>
      <c r="C180" s="1">
        <v>11</v>
      </c>
      <c r="D180" s="1" t="s">
        <v>57</v>
      </c>
      <c r="E180" s="1" t="s">
        <v>72</v>
      </c>
      <c r="F180" s="1" t="s">
        <v>84</v>
      </c>
      <c r="G180" s="1" t="s">
        <v>81</v>
      </c>
      <c r="H180" s="1" t="s">
        <v>65</v>
      </c>
      <c r="I180" s="1" t="s">
        <v>110</v>
      </c>
      <c r="J180" s="24">
        <v>278.99</v>
      </c>
      <c r="K180" s="24">
        <v>449.99</v>
      </c>
      <c r="L180" s="28">
        <v>171</v>
      </c>
      <c r="M180" s="1">
        <v>15</v>
      </c>
      <c r="N180" s="28">
        <v>6749.85</v>
      </c>
      <c r="O180" s="29">
        <v>0.09</v>
      </c>
      <c r="P180" s="28">
        <v>607.48649999999998</v>
      </c>
      <c r="Q180" s="28">
        <v>6142.3635000000004</v>
      </c>
      <c r="R180" s="1" t="str">
        <f t="shared" si="12"/>
        <v>Mar</v>
      </c>
      <c r="S180" s="28">
        <f t="shared" si="16"/>
        <v>4184.8500000000004</v>
      </c>
      <c r="T180" s="28">
        <f t="shared" si="17"/>
        <v>1957.5135</v>
      </c>
      <c r="U180" s="11">
        <f t="shared" si="13"/>
        <v>0.31869059849681641</v>
      </c>
      <c r="V180" s="1" t="str">
        <f t="shared" si="14"/>
        <v>Slow</v>
      </c>
      <c r="W180" s="1" t="str">
        <f t="shared" si="15"/>
        <v>OK</v>
      </c>
    </row>
    <row r="181" spans="1:23">
      <c r="A181" s="1">
        <v>56799</v>
      </c>
      <c r="B181" s="10">
        <v>45741</v>
      </c>
      <c r="C181" s="1">
        <v>22</v>
      </c>
      <c r="D181" s="1" t="s">
        <v>78</v>
      </c>
      <c r="E181" s="1" t="s">
        <v>67</v>
      </c>
      <c r="F181" s="1" t="s">
        <v>64</v>
      </c>
      <c r="G181" s="1" t="s">
        <v>60</v>
      </c>
      <c r="H181" s="1" t="s">
        <v>70</v>
      </c>
      <c r="I181" s="1" t="s">
        <v>71</v>
      </c>
      <c r="J181" s="24">
        <v>3.95</v>
      </c>
      <c r="K181" s="24">
        <v>6.08</v>
      </c>
      <c r="L181" s="28">
        <v>2.13</v>
      </c>
      <c r="M181" s="1">
        <v>38</v>
      </c>
      <c r="N181" s="28">
        <v>231.04</v>
      </c>
      <c r="O181" s="29">
        <v>0.09</v>
      </c>
      <c r="P181" s="28">
        <v>20.793600000000001</v>
      </c>
      <c r="Q181" s="28">
        <v>210.24639999999999</v>
      </c>
      <c r="R181" s="1" t="str">
        <f t="shared" si="12"/>
        <v>Mar</v>
      </c>
      <c r="S181" s="28">
        <f t="shared" si="16"/>
        <v>150.1</v>
      </c>
      <c r="T181" s="28">
        <f t="shared" si="17"/>
        <v>60.1464</v>
      </c>
      <c r="U181" s="11">
        <f t="shared" si="13"/>
        <v>0.28607576633892423</v>
      </c>
      <c r="V181" s="1" t="str">
        <f t="shared" si="14"/>
        <v>Very Slow</v>
      </c>
      <c r="W181" s="1" t="str">
        <f t="shared" si="15"/>
        <v>OK</v>
      </c>
    </row>
    <row r="182" spans="1:23">
      <c r="A182" s="1">
        <v>56800</v>
      </c>
      <c r="B182" s="10">
        <v>45741</v>
      </c>
      <c r="C182" s="1">
        <v>16</v>
      </c>
      <c r="D182" s="1" t="s">
        <v>57</v>
      </c>
      <c r="E182" s="1" t="s">
        <v>58</v>
      </c>
      <c r="F182" s="1" t="s">
        <v>64</v>
      </c>
      <c r="G182" s="1" t="s">
        <v>81</v>
      </c>
      <c r="H182" s="1" t="s">
        <v>90</v>
      </c>
      <c r="I182" s="1" t="s">
        <v>150</v>
      </c>
      <c r="J182" s="24">
        <v>8.82</v>
      </c>
      <c r="K182" s="24">
        <v>20.99</v>
      </c>
      <c r="L182" s="28">
        <v>12.17</v>
      </c>
      <c r="M182" s="1">
        <v>21</v>
      </c>
      <c r="N182" s="28">
        <v>440.79</v>
      </c>
      <c r="O182" s="29">
        <v>0.1</v>
      </c>
      <c r="P182" s="28">
        <v>44.079000000000001</v>
      </c>
      <c r="Q182" s="28">
        <v>396.71100000000001</v>
      </c>
      <c r="R182" s="1" t="str">
        <f t="shared" si="12"/>
        <v>Mar</v>
      </c>
      <c r="S182" s="28">
        <f t="shared" si="16"/>
        <v>185.22</v>
      </c>
      <c r="T182" s="28">
        <f t="shared" si="17"/>
        <v>211.49100000000001</v>
      </c>
      <c r="U182" s="11">
        <f t="shared" si="13"/>
        <v>0.53311100524059074</v>
      </c>
      <c r="V182" s="1" t="str">
        <f t="shared" si="14"/>
        <v>Very Slow</v>
      </c>
      <c r="W182" s="1" t="str">
        <f t="shared" si="15"/>
        <v>OK</v>
      </c>
    </row>
    <row r="183" spans="1:23">
      <c r="A183" s="1">
        <v>56801</v>
      </c>
      <c r="B183" s="10">
        <v>45741</v>
      </c>
      <c r="C183" s="1">
        <v>6</v>
      </c>
      <c r="D183" s="1" t="s">
        <v>57</v>
      </c>
      <c r="E183" s="1" t="s">
        <v>72</v>
      </c>
      <c r="F183" s="1" t="s">
        <v>64</v>
      </c>
      <c r="G183" s="1" t="s">
        <v>60</v>
      </c>
      <c r="H183" s="1" t="s">
        <v>68</v>
      </c>
      <c r="I183" s="1" t="s">
        <v>183</v>
      </c>
      <c r="J183" s="24">
        <v>1.76</v>
      </c>
      <c r="K183" s="24">
        <v>3.38</v>
      </c>
      <c r="L183" s="28">
        <v>1.62</v>
      </c>
      <c r="M183" s="1">
        <v>6</v>
      </c>
      <c r="N183" s="28">
        <v>20.28</v>
      </c>
      <c r="O183" s="29">
        <v>0.08</v>
      </c>
      <c r="P183" s="28">
        <v>1.6224000000000001</v>
      </c>
      <c r="Q183" s="28">
        <v>18.657599999999999</v>
      </c>
      <c r="R183" s="1" t="str">
        <f t="shared" si="12"/>
        <v>Mar</v>
      </c>
      <c r="S183" s="28">
        <f t="shared" si="16"/>
        <v>10.56</v>
      </c>
      <c r="T183" s="28">
        <f t="shared" si="17"/>
        <v>8.0975999999999981</v>
      </c>
      <c r="U183" s="11">
        <f t="shared" si="13"/>
        <v>0.43401080524826335</v>
      </c>
      <c r="V183" s="1" t="str">
        <f t="shared" si="14"/>
        <v>Standard</v>
      </c>
      <c r="W183" s="1" t="str">
        <f t="shared" si="15"/>
        <v>OK</v>
      </c>
    </row>
    <row r="184" spans="1:23">
      <c r="A184" s="1">
        <v>56802</v>
      </c>
      <c r="B184" s="10">
        <v>45741</v>
      </c>
      <c r="C184" s="1">
        <v>1</v>
      </c>
      <c r="D184" s="1" t="s">
        <v>78</v>
      </c>
      <c r="E184" s="1" t="s">
        <v>72</v>
      </c>
      <c r="F184" s="1" t="s">
        <v>18</v>
      </c>
      <c r="G184" s="1" t="s">
        <v>60</v>
      </c>
      <c r="H184" s="1" t="s">
        <v>70</v>
      </c>
      <c r="I184" s="1" t="s">
        <v>175</v>
      </c>
      <c r="J184" s="24">
        <v>4.79</v>
      </c>
      <c r="K184" s="24">
        <v>11.97</v>
      </c>
      <c r="L184" s="28">
        <v>7.1800000000000006</v>
      </c>
      <c r="M184" s="1">
        <v>20</v>
      </c>
      <c r="N184" s="28">
        <v>239.4</v>
      </c>
      <c r="O184" s="29">
        <v>0.03</v>
      </c>
      <c r="P184" s="28">
        <v>7.1819999999999986</v>
      </c>
      <c r="Q184" s="28">
        <v>232.21799999999999</v>
      </c>
      <c r="R184" s="1" t="str">
        <f t="shared" si="12"/>
        <v>Mar</v>
      </c>
      <c r="S184" s="28">
        <f t="shared" si="16"/>
        <v>95.8</v>
      </c>
      <c r="T184" s="28">
        <f t="shared" si="17"/>
        <v>136.41800000000001</v>
      </c>
      <c r="U184" s="11">
        <f t="shared" si="13"/>
        <v>0.58745661404370042</v>
      </c>
      <c r="V184" s="1" t="str">
        <f t="shared" si="14"/>
        <v>Fast</v>
      </c>
      <c r="W184" s="1" t="str">
        <f t="shared" si="15"/>
        <v>OK</v>
      </c>
    </row>
    <row r="185" spans="1:23">
      <c r="A185" s="1">
        <v>56803</v>
      </c>
      <c r="B185" s="10">
        <v>45741</v>
      </c>
      <c r="C185" s="1">
        <v>21</v>
      </c>
      <c r="D185" s="1" t="s">
        <v>63</v>
      </c>
      <c r="E185" s="1" t="s">
        <v>67</v>
      </c>
      <c r="F185" s="1" t="s">
        <v>59</v>
      </c>
      <c r="G185" s="1" t="s">
        <v>60</v>
      </c>
      <c r="H185" s="1" t="s">
        <v>70</v>
      </c>
      <c r="I185" s="1" t="s">
        <v>124</v>
      </c>
      <c r="J185" s="24">
        <v>2.25</v>
      </c>
      <c r="K185" s="24">
        <v>3.69</v>
      </c>
      <c r="L185" s="28">
        <v>1.44</v>
      </c>
      <c r="M185" s="1">
        <v>22</v>
      </c>
      <c r="N185" s="28">
        <v>81.179999999999993</v>
      </c>
      <c r="O185" s="29">
        <v>0.08</v>
      </c>
      <c r="P185" s="28">
        <v>6.4943999999999997</v>
      </c>
      <c r="Q185" s="28">
        <v>74.685599999999994</v>
      </c>
      <c r="R185" s="1" t="str">
        <f t="shared" si="12"/>
        <v>Mar</v>
      </c>
      <c r="S185" s="28">
        <f t="shared" si="16"/>
        <v>49.5</v>
      </c>
      <c r="T185" s="28">
        <f t="shared" si="17"/>
        <v>25.185599999999994</v>
      </c>
      <c r="U185" s="11">
        <f t="shared" si="13"/>
        <v>0.33722163308589603</v>
      </c>
      <c r="V185" s="1" t="str">
        <f t="shared" si="14"/>
        <v>Very Slow</v>
      </c>
      <c r="W185" s="1" t="str">
        <f t="shared" si="15"/>
        <v>OK</v>
      </c>
    </row>
    <row r="186" spans="1:23">
      <c r="A186" s="1">
        <v>56804</v>
      </c>
      <c r="B186" s="10">
        <v>45742</v>
      </c>
      <c r="C186" s="1">
        <v>14</v>
      </c>
      <c r="D186" s="1" t="s">
        <v>57</v>
      </c>
      <c r="E186" s="1" t="s">
        <v>72</v>
      </c>
      <c r="F186" s="1" t="s">
        <v>75</v>
      </c>
      <c r="G186" s="1" t="s">
        <v>60</v>
      </c>
      <c r="H186" s="1" t="s">
        <v>61</v>
      </c>
      <c r="I186" s="1" t="s">
        <v>120</v>
      </c>
      <c r="J186" s="24">
        <v>16.8</v>
      </c>
      <c r="K186" s="24">
        <v>40.97</v>
      </c>
      <c r="L186" s="28">
        <v>24.17</v>
      </c>
      <c r="M186" s="1">
        <v>55</v>
      </c>
      <c r="N186" s="28">
        <v>2253.35</v>
      </c>
      <c r="O186" s="29">
        <v>0.04</v>
      </c>
      <c r="P186" s="28">
        <v>90.134</v>
      </c>
      <c r="Q186" s="28">
        <v>2163.2159999999999</v>
      </c>
      <c r="R186" s="1" t="str">
        <f t="shared" si="12"/>
        <v>Mar</v>
      </c>
      <c r="S186" s="28">
        <f t="shared" si="16"/>
        <v>924</v>
      </c>
      <c r="T186" s="28">
        <f t="shared" si="17"/>
        <v>1239.2159999999999</v>
      </c>
      <c r="U186" s="11">
        <f t="shared" si="13"/>
        <v>0.57285818891872098</v>
      </c>
      <c r="V186" s="1" t="str">
        <f t="shared" si="14"/>
        <v>Slow</v>
      </c>
      <c r="W186" s="1" t="str">
        <f t="shared" si="15"/>
        <v>OK</v>
      </c>
    </row>
    <row r="187" spans="1:23">
      <c r="A187" s="1">
        <v>56805</v>
      </c>
      <c r="B187" s="10">
        <v>45742</v>
      </c>
      <c r="C187" s="1">
        <v>15</v>
      </c>
      <c r="D187" s="1" t="s">
        <v>63</v>
      </c>
      <c r="E187" s="1" t="s">
        <v>87</v>
      </c>
      <c r="F187" s="1" t="s">
        <v>73</v>
      </c>
      <c r="G187" s="1" t="s">
        <v>60</v>
      </c>
      <c r="H187" s="1" t="s">
        <v>68</v>
      </c>
      <c r="I187" s="1" t="s">
        <v>184</v>
      </c>
      <c r="J187" s="24">
        <v>21.56</v>
      </c>
      <c r="K187" s="24">
        <v>36.549999999999997</v>
      </c>
      <c r="L187" s="28">
        <v>14.99</v>
      </c>
      <c r="M187" s="1">
        <v>31</v>
      </c>
      <c r="N187" s="28">
        <v>1133.05</v>
      </c>
      <c r="O187" s="29">
        <v>0.03</v>
      </c>
      <c r="P187" s="28">
        <v>33.991499999999988</v>
      </c>
      <c r="Q187" s="28">
        <v>1099.0585000000001</v>
      </c>
      <c r="R187" s="1" t="str">
        <f t="shared" si="12"/>
        <v>Mar</v>
      </c>
      <c r="S187" s="28">
        <f t="shared" si="16"/>
        <v>668.36</v>
      </c>
      <c r="T187" s="28">
        <f t="shared" si="17"/>
        <v>430.69850000000008</v>
      </c>
      <c r="U187" s="11">
        <f t="shared" si="13"/>
        <v>0.39187950413922468</v>
      </c>
      <c r="V187" s="1" t="str">
        <f t="shared" si="14"/>
        <v>Very Slow</v>
      </c>
      <c r="W187" s="1" t="str">
        <f t="shared" si="15"/>
        <v>OK</v>
      </c>
    </row>
    <row r="188" spans="1:23">
      <c r="A188" s="1">
        <v>56806</v>
      </c>
      <c r="B188" s="10">
        <v>45742</v>
      </c>
      <c r="C188" s="1">
        <v>3</v>
      </c>
      <c r="D188" s="1" t="s">
        <v>57</v>
      </c>
      <c r="E188" s="1" t="s">
        <v>58</v>
      </c>
      <c r="F188" s="1" t="s">
        <v>98</v>
      </c>
      <c r="G188" s="1" t="s">
        <v>60</v>
      </c>
      <c r="H188" s="1" t="s">
        <v>65</v>
      </c>
      <c r="I188" s="1" t="s">
        <v>151</v>
      </c>
      <c r="J188" s="24">
        <v>2.31</v>
      </c>
      <c r="K188" s="24">
        <v>3.78</v>
      </c>
      <c r="L188" s="28">
        <v>1.47</v>
      </c>
      <c r="M188" s="1">
        <v>30</v>
      </c>
      <c r="N188" s="28">
        <v>113.4</v>
      </c>
      <c r="O188" s="29">
        <v>0.03</v>
      </c>
      <c r="P188" s="28">
        <v>3.4020000000000001</v>
      </c>
      <c r="Q188" s="28">
        <v>109.998</v>
      </c>
      <c r="R188" s="1" t="str">
        <f t="shared" si="12"/>
        <v>Mar</v>
      </c>
      <c r="S188" s="28">
        <f t="shared" si="16"/>
        <v>69.3</v>
      </c>
      <c r="T188" s="28">
        <f t="shared" si="17"/>
        <v>40.698000000000008</v>
      </c>
      <c r="U188" s="11">
        <f t="shared" si="13"/>
        <v>0.36998854524627728</v>
      </c>
      <c r="V188" s="1" t="str">
        <f t="shared" si="14"/>
        <v>Fast</v>
      </c>
      <c r="W188" s="1" t="str">
        <f t="shared" si="15"/>
        <v>OK</v>
      </c>
    </row>
    <row r="189" spans="1:23">
      <c r="A189" s="1">
        <v>56807</v>
      </c>
      <c r="B189" s="10">
        <v>45742</v>
      </c>
      <c r="C189" s="1">
        <v>9</v>
      </c>
      <c r="D189" s="1" t="s">
        <v>57</v>
      </c>
      <c r="E189" s="1" t="s">
        <v>72</v>
      </c>
      <c r="F189" s="1" t="s">
        <v>96</v>
      </c>
      <c r="G189" s="1" t="s">
        <v>81</v>
      </c>
      <c r="H189" s="1" t="s">
        <v>65</v>
      </c>
      <c r="I189" s="1" t="s">
        <v>185</v>
      </c>
      <c r="J189" s="24">
        <v>54.52</v>
      </c>
      <c r="K189" s="24">
        <v>100.97</v>
      </c>
      <c r="L189" s="28">
        <v>46.45</v>
      </c>
      <c r="M189" s="1">
        <v>15</v>
      </c>
      <c r="N189" s="28">
        <v>1514.55</v>
      </c>
      <c r="O189" s="29">
        <v>0.08</v>
      </c>
      <c r="P189" s="28">
        <v>121.164</v>
      </c>
      <c r="Q189" s="28">
        <v>1393.386</v>
      </c>
      <c r="R189" s="1" t="str">
        <f t="shared" si="12"/>
        <v>Mar</v>
      </c>
      <c r="S189" s="28">
        <f t="shared" si="16"/>
        <v>817.80000000000007</v>
      </c>
      <c r="T189" s="28">
        <f t="shared" si="17"/>
        <v>575.5859999999999</v>
      </c>
      <c r="U189" s="11">
        <f t="shared" si="13"/>
        <v>0.41308438580551254</v>
      </c>
      <c r="V189" s="1" t="str">
        <f t="shared" si="14"/>
        <v>Slow</v>
      </c>
      <c r="W189" s="1" t="str">
        <f t="shared" si="15"/>
        <v>OK</v>
      </c>
    </row>
    <row r="190" spans="1:23">
      <c r="A190" s="1">
        <v>56808</v>
      </c>
      <c r="B190" s="10">
        <v>45744</v>
      </c>
      <c r="C190" s="1">
        <v>13</v>
      </c>
      <c r="D190" s="1" t="s">
        <v>57</v>
      </c>
      <c r="E190" s="1" t="s">
        <v>87</v>
      </c>
      <c r="F190" s="1" t="s">
        <v>79</v>
      </c>
      <c r="G190" s="1" t="s">
        <v>81</v>
      </c>
      <c r="H190" s="1" t="s">
        <v>68</v>
      </c>
      <c r="I190" s="1" t="s">
        <v>110</v>
      </c>
      <c r="J190" s="24">
        <v>278.99</v>
      </c>
      <c r="K190" s="24">
        <v>449.99</v>
      </c>
      <c r="L190" s="28">
        <v>171</v>
      </c>
      <c r="M190" s="1">
        <v>45</v>
      </c>
      <c r="N190" s="28">
        <v>20249.55</v>
      </c>
      <c r="O190" s="29">
        <v>0.08</v>
      </c>
      <c r="P190" s="28">
        <v>1619.9639999999999</v>
      </c>
      <c r="Q190" s="28">
        <v>18629.585999999999</v>
      </c>
      <c r="R190" s="1" t="str">
        <f t="shared" si="12"/>
        <v>Mar</v>
      </c>
      <c r="S190" s="28">
        <f t="shared" si="16"/>
        <v>12554.550000000001</v>
      </c>
      <c r="T190" s="28">
        <f t="shared" si="17"/>
        <v>6075.0359999999982</v>
      </c>
      <c r="U190" s="11">
        <f t="shared" si="13"/>
        <v>0.32609613546967703</v>
      </c>
      <c r="V190" s="1" t="str">
        <f t="shared" si="14"/>
        <v>Slow</v>
      </c>
      <c r="W190" s="1" t="str">
        <f t="shared" si="15"/>
        <v>OK</v>
      </c>
    </row>
    <row r="191" spans="1:23">
      <c r="A191" s="1">
        <v>56809</v>
      </c>
      <c r="B191" s="10">
        <v>45745</v>
      </c>
      <c r="C191" s="1">
        <v>15</v>
      </c>
      <c r="D191" s="1" t="s">
        <v>57</v>
      </c>
      <c r="E191" s="1" t="s">
        <v>87</v>
      </c>
      <c r="F191" s="1" t="s">
        <v>108</v>
      </c>
      <c r="G191" s="1" t="s">
        <v>81</v>
      </c>
      <c r="H191" s="1" t="s">
        <v>68</v>
      </c>
      <c r="I191" s="1" t="s">
        <v>156</v>
      </c>
      <c r="J191" s="24">
        <v>60.59</v>
      </c>
      <c r="K191" s="24">
        <v>100.98</v>
      </c>
      <c r="L191" s="28">
        <v>40.39</v>
      </c>
      <c r="M191" s="1">
        <v>15</v>
      </c>
      <c r="N191" s="28">
        <v>1514.7</v>
      </c>
      <c r="O191" s="29">
        <v>0.04</v>
      </c>
      <c r="P191" s="28">
        <v>60.588000000000001</v>
      </c>
      <c r="Q191" s="28">
        <v>1454.1120000000001</v>
      </c>
      <c r="R191" s="1" t="str">
        <f t="shared" si="12"/>
        <v>Mar</v>
      </c>
      <c r="S191" s="28">
        <f t="shared" si="16"/>
        <v>908.85</v>
      </c>
      <c r="T191" s="28">
        <f t="shared" si="17"/>
        <v>545.26200000000006</v>
      </c>
      <c r="U191" s="11">
        <f t="shared" si="13"/>
        <v>0.3749793688519179</v>
      </c>
      <c r="V191" s="1" t="str">
        <f t="shared" si="14"/>
        <v>Very Slow</v>
      </c>
      <c r="W191" s="1" t="str">
        <f t="shared" si="15"/>
        <v>OK</v>
      </c>
    </row>
    <row r="192" spans="1:23">
      <c r="A192" s="1">
        <v>56810</v>
      </c>
      <c r="B192" s="10">
        <v>45746</v>
      </c>
      <c r="C192" s="1">
        <v>7</v>
      </c>
      <c r="D192" s="1" t="s">
        <v>57</v>
      </c>
      <c r="E192" s="1" t="s">
        <v>67</v>
      </c>
      <c r="F192" s="1" t="s">
        <v>64</v>
      </c>
      <c r="G192" s="1" t="s">
        <v>60</v>
      </c>
      <c r="H192" s="1" t="s">
        <v>68</v>
      </c>
      <c r="I192" s="1" t="s">
        <v>184</v>
      </c>
      <c r="J192" s="24">
        <v>21.56</v>
      </c>
      <c r="K192" s="24">
        <v>36.549999999999997</v>
      </c>
      <c r="L192" s="28">
        <v>14.99</v>
      </c>
      <c r="M192" s="1">
        <v>6</v>
      </c>
      <c r="N192" s="28">
        <v>219.3</v>
      </c>
      <c r="O192" s="29">
        <v>0.01</v>
      </c>
      <c r="P192" s="28">
        <v>2.1930000000000001</v>
      </c>
      <c r="Q192" s="28">
        <v>217.107</v>
      </c>
      <c r="R192" s="1" t="str">
        <f t="shared" si="12"/>
        <v>Mar</v>
      </c>
      <c r="S192" s="28">
        <f t="shared" si="16"/>
        <v>129.35999999999999</v>
      </c>
      <c r="T192" s="28">
        <f t="shared" si="17"/>
        <v>87.747000000000014</v>
      </c>
      <c r="U192" s="11">
        <f t="shared" si="13"/>
        <v>0.40416476668186663</v>
      </c>
      <c r="V192" s="1" t="str">
        <f t="shared" si="14"/>
        <v>Standard</v>
      </c>
      <c r="W192" s="1" t="str">
        <f t="shared" si="15"/>
        <v>OK</v>
      </c>
    </row>
    <row r="193" spans="1:23">
      <c r="A193" s="1">
        <v>56811</v>
      </c>
      <c r="B193" s="10">
        <v>45746</v>
      </c>
      <c r="C193" s="1">
        <v>8</v>
      </c>
      <c r="D193" s="1" t="s">
        <v>57</v>
      </c>
      <c r="E193" s="1" t="s">
        <v>72</v>
      </c>
      <c r="F193" s="1" t="s">
        <v>64</v>
      </c>
      <c r="G193" s="1" t="s">
        <v>60</v>
      </c>
      <c r="H193" s="1" t="s">
        <v>68</v>
      </c>
      <c r="I193" s="1" t="s">
        <v>140</v>
      </c>
      <c r="J193" s="24">
        <v>99.39</v>
      </c>
      <c r="K193" s="24">
        <v>162.93</v>
      </c>
      <c r="L193" s="28">
        <v>63.540000000000013</v>
      </c>
      <c r="M193" s="1">
        <v>40</v>
      </c>
      <c r="N193" s="28">
        <v>6517.2000000000007</v>
      </c>
      <c r="O193" s="29">
        <v>0.03</v>
      </c>
      <c r="P193" s="28">
        <v>195.51599999999999</v>
      </c>
      <c r="Q193" s="28">
        <v>6321.6840000000011</v>
      </c>
      <c r="R193" s="1" t="str">
        <f t="shared" si="12"/>
        <v>Mar</v>
      </c>
      <c r="S193" s="28">
        <f t="shared" si="16"/>
        <v>3975.6</v>
      </c>
      <c r="T193" s="28">
        <f t="shared" si="17"/>
        <v>2346.0840000000012</v>
      </c>
      <c r="U193" s="11">
        <f t="shared" si="13"/>
        <v>0.37111693656310579</v>
      </c>
      <c r="V193" s="1" t="str">
        <f t="shared" si="14"/>
        <v>Slow</v>
      </c>
      <c r="W193" s="1" t="str">
        <f t="shared" si="15"/>
        <v>OK</v>
      </c>
    </row>
    <row r="194" spans="1:23">
      <c r="A194" s="1">
        <v>56812</v>
      </c>
      <c r="B194" s="10">
        <v>45746</v>
      </c>
      <c r="C194" s="1">
        <v>1</v>
      </c>
      <c r="D194" s="1" t="s">
        <v>78</v>
      </c>
      <c r="E194" s="1" t="s">
        <v>72</v>
      </c>
      <c r="F194" s="1" t="s">
        <v>64</v>
      </c>
      <c r="G194" s="1" t="s">
        <v>81</v>
      </c>
      <c r="H194" s="1" t="s">
        <v>70</v>
      </c>
      <c r="I194" s="1" t="s">
        <v>147</v>
      </c>
      <c r="J194" s="24">
        <v>377.99</v>
      </c>
      <c r="K194" s="24">
        <v>599.99</v>
      </c>
      <c r="L194" s="28">
        <v>222</v>
      </c>
      <c r="M194" s="1">
        <v>46</v>
      </c>
      <c r="N194" s="28">
        <v>27599.54</v>
      </c>
      <c r="O194" s="29">
        <v>0.08</v>
      </c>
      <c r="P194" s="28">
        <v>2207.9632000000001</v>
      </c>
      <c r="Q194" s="28">
        <v>25391.576799999999</v>
      </c>
      <c r="R194" s="1" t="str">
        <f t="shared" si="12"/>
        <v>Mar</v>
      </c>
      <c r="S194" s="28">
        <f t="shared" si="16"/>
        <v>17387.54</v>
      </c>
      <c r="T194" s="28">
        <f t="shared" si="17"/>
        <v>8004.036799999998</v>
      </c>
      <c r="U194" s="11">
        <f t="shared" si="13"/>
        <v>0.31522409431461534</v>
      </c>
      <c r="V194" s="1" t="str">
        <f t="shared" si="14"/>
        <v>Fast</v>
      </c>
      <c r="W194" s="1" t="str">
        <f t="shared" si="15"/>
        <v>OK</v>
      </c>
    </row>
    <row r="195" spans="1:23">
      <c r="A195" s="1">
        <v>56813</v>
      </c>
      <c r="B195" s="10">
        <v>45746</v>
      </c>
      <c r="C195" s="1">
        <v>22</v>
      </c>
      <c r="D195" s="1" t="s">
        <v>57</v>
      </c>
      <c r="E195" s="1" t="s">
        <v>72</v>
      </c>
      <c r="F195" s="1" t="s">
        <v>64</v>
      </c>
      <c r="G195" s="1" t="s">
        <v>60</v>
      </c>
      <c r="H195" s="1" t="s">
        <v>70</v>
      </c>
      <c r="I195" s="1" t="s">
        <v>114</v>
      </c>
      <c r="J195" s="24">
        <v>2.59</v>
      </c>
      <c r="K195" s="24">
        <v>3.98</v>
      </c>
      <c r="L195" s="28">
        <v>1.39</v>
      </c>
      <c r="M195" s="1">
        <v>11</v>
      </c>
      <c r="N195" s="28">
        <v>43.78</v>
      </c>
      <c r="O195" s="29">
        <v>0.1</v>
      </c>
      <c r="P195" s="28">
        <v>4.3780000000000001</v>
      </c>
      <c r="Q195" s="28">
        <v>39.402000000000001</v>
      </c>
      <c r="R195" s="1" t="str">
        <f t="shared" si="12"/>
        <v>Mar</v>
      </c>
      <c r="S195" s="28">
        <f t="shared" si="16"/>
        <v>28.49</v>
      </c>
      <c r="T195" s="28">
        <f t="shared" si="17"/>
        <v>10.912000000000003</v>
      </c>
      <c r="U195" s="11">
        <f t="shared" si="13"/>
        <v>0.27694025683975437</v>
      </c>
      <c r="V195" s="1" t="str">
        <f t="shared" si="14"/>
        <v>Very Slow</v>
      </c>
      <c r="W195" s="1" t="str">
        <f t="shared" si="15"/>
        <v>OK</v>
      </c>
    </row>
    <row r="196" spans="1:23">
      <c r="A196" s="1">
        <v>56814</v>
      </c>
      <c r="B196" s="10">
        <v>45747</v>
      </c>
      <c r="C196" s="1">
        <v>8</v>
      </c>
      <c r="D196" s="1" t="s">
        <v>57</v>
      </c>
      <c r="E196" s="1" t="s">
        <v>87</v>
      </c>
      <c r="F196" s="1" t="s">
        <v>100</v>
      </c>
      <c r="G196" s="1" t="s">
        <v>60</v>
      </c>
      <c r="H196" s="1" t="s">
        <v>70</v>
      </c>
      <c r="I196" s="1" t="s">
        <v>114</v>
      </c>
      <c r="J196" s="24">
        <v>2.59</v>
      </c>
      <c r="K196" s="24">
        <v>3.98</v>
      </c>
      <c r="L196" s="28">
        <v>1.39</v>
      </c>
      <c r="M196" s="1">
        <v>51</v>
      </c>
      <c r="N196" s="28">
        <v>202.98</v>
      </c>
      <c r="O196" s="29">
        <v>0.08</v>
      </c>
      <c r="P196" s="28">
        <v>16.238399999999999</v>
      </c>
      <c r="Q196" s="28">
        <v>186.74160000000001</v>
      </c>
      <c r="R196" s="1" t="str">
        <f t="shared" si="12"/>
        <v>Mar</v>
      </c>
      <c r="S196" s="28">
        <f t="shared" si="16"/>
        <v>132.09</v>
      </c>
      <c r="T196" s="28">
        <f t="shared" si="17"/>
        <v>54.651600000000002</v>
      </c>
      <c r="U196" s="11">
        <f t="shared" si="13"/>
        <v>0.29265894690845534</v>
      </c>
      <c r="V196" s="1" t="str">
        <f t="shared" si="14"/>
        <v>Slow</v>
      </c>
      <c r="W196" s="1" t="str">
        <f t="shared" si="15"/>
        <v>OK</v>
      </c>
    </row>
    <row r="197" spans="1:23">
      <c r="A197" s="1">
        <v>56815</v>
      </c>
      <c r="B197" s="10">
        <v>45747</v>
      </c>
      <c r="C197" s="1">
        <v>10</v>
      </c>
      <c r="D197" s="1" t="s">
        <v>57</v>
      </c>
      <c r="E197" s="1" t="s">
        <v>72</v>
      </c>
      <c r="F197" s="1" t="s">
        <v>75</v>
      </c>
      <c r="G197" s="1" t="s">
        <v>60</v>
      </c>
      <c r="H197" s="1" t="s">
        <v>70</v>
      </c>
      <c r="I197" s="1" t="s">
        <v>118</v>
      </c>
      <c r="J197" s="24">
        <v>3.32</v>
      </c>
      <c r="K197" s="24">
        <v>5.18</v>
      </c>
      <c r="L197" s="28">
        <v>1.86</v>
      </c>
      <c r="M197" s="1">
        <v>14</v>
      </c>
      <c r="N197" s="28">
        <v>72.52</v>
      </c>
      <c r="O197" s="29">
        <v>0.06</v>
      </c>
      <c r="P197" s="28">
        <v>4.3512000000000004</v>
      </c>
      <c r="Q197" s="28">
        <v>68.16879999999999</v>
      </c>
      <c r="R197" s="1" t="str">
        <f t="shared" ref="R197:R260" si="18">TEXT(B197,"mmm")</f>
        <v>Mar</v>
      </c>
      <c r="S197" s="28">
        <f t="shared" si="16"/>
        <v>46.48</v>
      </c>
      <c r="T197" s="28">
        <f t="shared" si="17"/>
        <v>21.688799999999993</v>
      </c>
      <c r="U197" s="11">
        <f t="shared" ref="U197:U260" si="19">IF(Q197=0,0,T197/Q197)</f>
        <v>0.31816314795038192</v>
      </c>
      <c r="V197" s="1" t="str">
        <f t="shared" ref="V197:V260" si="20">IF(C197&lt;=3,"Fast",IF(C197&lt;=7,"Standard",IF(C197&lt;=14,"Slow","Very Slow")))</f>
        <v>Slow</v>
      </c>
      <c r="W197" s="1" t="str">
        <f t="shared" ref="W197:W260" si="21">IF(OR(H197="Not Specifiedd",P197&lt;0),"Review","OK")</f>
        <v>OK</v>
      </c>
    </row>
    <row r="198" spans="1:23">
      <c r="A198" s="1">
        <v>56816</v>
      </c>
      <c r="B198" s="10">
        <v>45748</v>
      </c>
      <c r="C198" s="1">
        <v>23</v>
      </c>
      <c r="D198" s="1" t="s">
        <v>57</v>
      </c>
      <c r="E198" s="1" t="s">
        <v>87</v>
      </c>
      <c r="F198" s="1" t="s">
        <v>100</v>
      </c>
      <c r="G198" s="1" t="s">
        <v>60</v>
      </c>
      <c r="H198" s="1" t="s">
        <v>68</v>
      </c>
      <c r="I198" s="1" t="s">
        <v>186</v>
      </c>
      <c r="J198" s="24">
        <v>11.11</v>
      </c>
      <c r="K198" s="24">
        <v>19.84</v>
      </c>
      <c r="L198" s="28">
        <v>8.73</v>
      </c>
      <c r="M198" s="1">
        <v>10</v>
      </c>
      <c r="N198" s="28">
        <v>198.4</v>
      </c>
      <c r="O198" s="29">
        <v>0.05</v>
      </c>
      <c r="P198" s="28">
        <v>9.9200000000000017</v>
      </c>
      <c r="Q198" s="28">
        <v>188.48</v>
      </c>
      <c r="R198" s="1" t="str">
        <f t="shared" si="18"/>
        <v>Apr</v>
      </c>
      <c r="S198" s="28">
        <f t="shared" ref="S198:S261" si="22">J198*M198</f>
        <v>111.1</v>
      </c>
      <c r="T198" s="28">
        <f t="shared" ref="T198:T261" si="23">Q198-S198</f>
        <v>77.38</v>
      </c>
      <c r="U198" s="11">
        <f t="shared" si="19"/>
        <v>0.41054753820033957</v>
      </c>
      <c r="V198" s="1" t="str">
        <f t="shared" si="20"/>
        <v>Very Slow</v>
      </c>
      <c r="W198" s="1" t="str">
        <f t="shared" si="21"/>
        <v>OK</v>
      </c>
    </row>
    <row r="199" spans="1:23">
      <c r="A199" s="1">
        <v>56817</v>
      </c>
      <c r="B199" s="10">
        <v>45748</v>
      </c>
      <c r="C199" s="1">
        <v>10</v>
      </c>
      <c r="D199" s="1" t="s">
        <v>78</v>
      </c>
      <c r="E199" s="1" t="s">
        <v>58</v>
      </c>
      <c r="F199" s="1" t="s">
        <v>73</v>
      </c>
      <c r="G199" s="1" t="s">
        <v>60</v>
      </c>
      <c r="H199" s="1" t="s">
        <v>70</v>
      </c>
      <c r="I199" s="1" t="s">
        <v>187</v>
      </c>
      <c r="J199" s="24">
        <v>2.2599999999999998</v>
      </c>
      <c r="K199" s="24">
        <v>3.58</v>
      </c>
      <c r="L199" s="28">
        <v>1.32</v>
      </c>
      <c r="M199" s="1">
        <v>44</v>
      </c>
      <c r="N199" s="28">
        <v>157.52000000000001</v>
      </c>
      <c r="O199" s="29">
        <v>0.01</v>
      </c>
      <c r="P199" s="28">
        <v>1.5751999999999999</v>
      </c>
      <c r="Q199" s="28">
        <v>155.94479999999999</v>
      </c>
      <c r="R199" s="1" t="str">
        <f t="shared" si="18"/>
        <v>Apr</v>
      </c>
      <c r="S199" s="28">
        <f t="shared" si="22"/>
        <v>99.44</v>
      </c>
      <c r="T199" s="28">
        <f t="shared" si="23"/>
        <v>56.504799999999989</v>
      </c>
      <c r="U199" s="11">
        <f t="shared" si="19"/>
        <v>0.36233846848371987</v>
      </c>
      <c r="V199" s="1" t="str">
        <f t="shared" si="20"/>
        <v>Slow</v>
      </c>
      <c r="W199" s="1" t="str">
        <f t="shared" si="21"/>
        <v>OK</v>
      </c>
    </row>
    <row r="200" spans="1:23">
      <c r="A200" s="1">
        <v>56818</v>
      </c>
      <c r="B200" s="10">
        <v>45749</v>
      </c>
      <c r="C200" s="1">
        <v>5</v>
      </c>
      <c r="D200" s="1" t="s">
        <v>57</v>
      </c>
      <c r="E200" s="1" t="s">
        <v>87</v>
      </c>
      <c r="F200" s="1" t="s">
        <v>108</v>
      </c>
      <c r="G200" s="1" t="s">
        <v>81</v>
      </c>
      <c r="H200" s="1" t="s">
        <v>68</v>
      </c>
      <c r="I200" s="1" t="s">
        <v>188</v>
      </c>
      <c r="J200" s="24">
        <v>41.28</v>
      </c>
      <c r="K200" s="24">
        <v>95.99</v>
      </c>
      <c r="L200" s="28">
        <v>54.709999999999987</v>
      </c>
      <c r="M200" s="1">
        <v>14</v>
      </c>
      <c r="N200" s="28">
        <v>1343.86</v>
      </c>
      <c r="O200" s="29">
        <v>0.04</v>
      </c>
      <c r="P200" s="28">
        <v>53.754399999999997</v>
      </c>
      <c r="Q200" s="28">
        <v>1290.1056000000001</v>
      </c>
      <c r="R200" s="1" t="str">
        <f t="shared" si="18"/>
        <v>Apr</v>
      </c>
      <c r="S200" s="28">
        <f t="shared" si="22"/>
        <v>577.92000000000007</v>
      </c>
      <c r="T200" s="28">
        <f t="shared" si="23"/>
        <v>712.18560000000002</v>
      </c>
      <c r="U200" s="11">
        <f t="shared" si="19"/>
        <v>0.55203667048650895</v>
      </c>
      <c r="V200" s="1" t="str">
        <f t="shared" si="20"/>
        <v>Standard</v>
      </c>
      <c r="W200" s="1" t="str">
        <f t="shared" si="21"/>
        <v>OK</v>
      </c>
    </row>
    <row r="201" spans="1:23">
      <c r="A201" s="1">
        <v>56819</v>
      </c>
      <c r="B201" s="10">
        <v>45749</v>
      </c>
      <c r="C201" s="1">
        <v>2</v>
      </c>
      <c r="D201" s="1" t="s">
        <v>63</v>
      </c>
      <c r="E201" s="1" t="s">
        <v>72</v>
      </c>
      <c r="F201" s="1" t="s">
        <v>96</v>
      </c>
      <c r="G201" s="1" t="s">
        <v>60</v>
      </c>
      <c r="H201" s="1" t="s">
        <v>70</v>
      </c>
      <c r="I201" s="1" t="s">
        <v>140</v>
      </c>
      <c r="J201" s="24">
        <v>99.39</v>
      </c>
      <c r="K201" s="24">
        <v>162.93</v>
      </c>
      <c r="L201" s="28">
        <v>63.540000000000013</v>
      </c>
      <c r="M201" s="1">
        <v>22</v>
      </c>
      <c r="N201" s="28">
        <v>3584.46</v>
      </c>
      <c r="O201" s="29">
        <v>7.0000000000000007E-2</v>
      </c>
      <c r="P201" s="28">
        <v>250.91220000000001</v>
      </c>
      <c r="Q201" s="28">
        <v>3333.5477999999998</v>
      </c>
      <c r="R201" s="1" t="str">
        <f t="shared" si="18"/>
        <v>Apr</v>
      </c>
      <c r="S201" s="28">
        <f t="shared" si="22"/>
        <v>2186.58</v>
      </c>
      <c r="T201" s="28">
        <f t="shared" si="23"/>
        <v>1146.9677999999999</v>
      </c>
      <c r="U201" s="11">
        <f t="shared" si="19"/>
        <v>0.34406820265184135</v>
      </c>
      <c r="V201" s="1" t="str">
        <f t="shared" si="20"/>
        <v>Fast</v>
      </c>
      <c r="W201" s="1" t="str">
        <f t="shared" si="21"/>
        <v>OK</v>
      </c>
    </row>
    <row r="202" spans="1:23">
      <c r="A202" s="1">
        <v>56820</v>
      </c>
      <c r="B202" s="10">
        <v>45749</v>
      </c>
      <c r="C202" s="1">
        <v>13</v>
      </c>
      <c r="D202" s="1" t="s">
        <v>57</v>
      </c>
      <c r="E202" s="1" t="s">
        <v>67</v>
      </c>
      <c r="F202" s="1" t="s">
        <v>59</v>
      </c>
      <c r="G202" s="1" t="s">
        <v>81</v>
      </c>
      <c r="H202" s="1" t="s">
        <v>65</v>
      </c>
      <c r="I202" s="1" t="s">
        <v>150</v>
      </c>
      <c r="J202" s="24">
        <v>8.82</v>
      </c>
      <c r="K202" s="24">
        <v>20.99</v>
      </c>
      <c r="L202" s="28">
        <v>12.17</v>
      </c>
      <c r="M202" s="1">
        <v>39</v>
      </c>
      <c r="N202" s="28">
        <v>818.6099999999999</v>
      </c>
      <c r="O202" s="29">
        <v>7.0000000000000007E-2</v>
      </c>
      <c r="P202" s="28">
        <v>57.302700000000002</v>
      </c>
      <c r="Q202" s="28">
        <v>761.30729999999994</v>
      </c>
      <c r="R202" s="1" t="str">
        <f t="shared" si="18"/>
        <v>Apr</v>
      </c>
      <c r="S202" s="28">
        <f t="shared" si="22"/>
        <v>343.98</v>
      </c>
      <c r="T202" s="28">
        <f t="shared" si="23"/>
        <v>417.32729999999992</v>
      </c>
      <c r="U202" s="11">
        <f t="shared" si="19"/>
        <v>0.5481719405554103</v>
      </c>
      <c r="V202" s="1" t="str">
        <f t="shared" si="20"/>
        <v>Slow</v>
      </c>
      <c r="W202" s="1" t="str">
        <f t="shared" si="21"/>
        <v>OK</v>
      </c>
    </row>
    <row r="203" spans="1:23">
      <c r="A203" s="1">
        <v>56821</v>
      </c>
      <c r="B203" s="10">
        <v>45749</v>
      </c>
      <c r="C203" s="1">
        <v>20</v>
      </c>
      <c r="D203" s="1" t="s">
        <v>78</v>
      </c>
      <c r="E203" s="1" t="s">
        <v>87</v>
      </c>
      <c r="F203" s="1" t="s">
        <v>108</v>
      </c>
      <c r="G203" s="1" t="s">
        <v>60</v>
      </c>
      <c r="H203" s="1" t="s">
        <v>70</v>
      </c>
      <c r="I203" s="1" t="s">
        <v>189</v>
      </c>
      <c r="J203" s="24">
        <v>52.07</v>
      </c>
      <c r="K203" s="24">
        <v>83.98</v>
      </c>
      <c r="L203" s="28">
        <v>31.91</v>
      </c>
      <c r="M203" s="1">
        <v>11</v>
      </c>
      <c r="N203" s="28">
        <v>923.78000000000009</v>
      </c>
      <c r="O203" s="29">
        <v>0.05</v>
      </c>
      <c r="P203" s="28">
        <v>46.189000000000007</v>
      </c>
      <c r="Q203" s="28">
        <v>877.59100000000012</v>
      </c>
      <c r="R203" s="1" t="str">
        <f t="shared" si="18"/>
        <v>Apr</v>
      </c>
      <c r="S203" s="28">
        <f t="shared" si="22"/>
        <v>572.77</v>
      </c>
      <c r="T203" s="28">
        <f t="shared" si="23"/>
        <v>304.82100000000014</v>
      </c>
      <c r="U203" s="11">
        <f t="shared" si="19"/>
        <v>0.34733833870219738</v>
      </c>
      <c r="V203" s="1" t="str">
        <f t="shared" si="20"/>
        <v>Very Slow</v>
      </c>
      <c r="W203" s="1" t="str">
        <f t="shared" si="21"/>
        <v>OK</v>
      </c>
    </row>
    <row r="204" spans="1:23">
      <c r="A204" s="1">
        <v>56822</v>
      </c>
      <c r="B204" s="10">
        <v>45750</v>
      </c>
      <c r="C204" s="1">
        <v>10</v>
      </c>
      <c r="D204" s="1" t="s">
        <v>63</v>
      </c>
      <c r="E204" s="1" t="s">
        <v>72</v>
      </c>
      <c r="F204" s="1" t="s">
        <v>59</v>
      </c>
      <c r="G204" s="1" t="s">
        <v>60</v>
      </c>
      <c r="H204" s="1" t="s">
        <v>65</v>
      </c>
      <c r="I204" s="1" t="s">
        <v>190</v>
      </c>
      <c r="J204" s="24">
        <v>5.22</v>
      </c>
      <c r="K204" s="24">
        <v>9.85</v>
      </c>
      <c r="L204" s="28">
        <v>4.63</v>
      </c>
      <c r="M204" s="1">
        <v>47</v>
      </c>
      <c r="N204" s="28">
        <v>462.95</v>
      </c>
      <c r="O204" s="29">
        <v>0.09</v>
      </c>
      <c r="P204" s="28">
        <v>41.665499999999987</v>
      </c>
      <c r="Q204" s="28">
        <v>421.28449999999998</v>
      </c>
      <c r="R204" s="1" t="str">
        <f t="shared" si="18"/>
        <v>Apr</v>
      </c>
      <c r="S204" s="28">
        <f t="shared" si="22"/>
        <v>245.33999999999997</v>
      </c>
      <c r="T204" s="28">
        <f t="shared" si="23"/>
        <v>175.94450000000001</v>
      </c>
      <c r="U204" s="11">
        <f t="shared" si="19"/>
        <v>0.41763819936408775</v>
      </c>
      <c r="V204" s="1" t="str">
        <f t="shared" si="20"/>
        <v>Slow</v>
      </c>
      <c r="W204" s="1" t="str">
        <f t="shared" si="21"/>
        <v>OK</v>
      </c>
    </row>
    <row r="205" spans="1:23">
      <c r="A205" s="1">
        <v>56823</v>
      </c>
      <c r="B205" s="10">
        <v>45750</v>
      </c>
      <c r="C205" s="1">
        <v>3</v>
      </c>
      <c r="D205" s="1" t="s">
        <v>57</v>
      </c>
      <c r="E205" s="1" t="s">
        <v>87</v>
      </c>
      <c r="F205" s="1" t="s">
        <v>59</v>
      </c>
      <c r="G205" s="1" t="s">
        <v>60</v>
      </c>
      <c r="H205" s="1" t="s">
        <v>65</v>
      </c>
      <c r="I205" s="1" t="s">
        <v>89</v>
      </c>
      <c r="J205" s="24">
        <v>1.76</v>
      </c>
      <c r="K205" s="24">
        <v>2.94</v>
      </c>
      <c r="L205" s="28">
        <v>1.18</v>
      </c>
      <c r="M205" s="1">
        <v>21</v>
      </c>
      <c r="N205" s="28">
        <v>61.74</v>
      </c>
      <c r="O205" s="29">
        <v>0.01</v>
      </c>
      <c r="P205" s="28">
        <v>0.61740000000000006</v>
      </c>
      <c r="Q205" s="28">
        <v>61.122599999999998</v>
      </c>
      <c r="R205" s="1" t="str">
        <f t="shared" si="18"/>
        <v>Apr</v>
      </c>
      <c r="S205" s="28">
        <f t="shared" si="22"/>
        <v>36.96</v>
      </c>
      <c r="T205" s="28">
        <f t="shared" si="23"/>
        <v>24.162599999999998</v>
      </c>
      <c r="U205" s="11">
        <f t="shared" si="19"/>
        <v>0.39531368102796671</v>
      </c>
      <c r="V205" s="1" t="str">
        <f t="shared" si="20"/>
        <v>Fast</v>
      </c>
      <c r="W205" s="1" t="str">
        <f t="shared" si="21"/>
        <v>OK</v>
      </c>
    </row>
    <row r="206" spans="1:23">
      <c r="A206" s="1">
        <v>56824</v>
      </c>
      <c r="B206" s="10">
        <v>45750</v>
      </c>
      <c r="C206" s="1">
        <v>11</v>
      </c>
      <c r="D206" s="1" t="s">
        <v>63</v>
      </c>
      <c r="E206" s="1" t="s">
        <v>58</v>
      </c>
      <c r="F206" s="1" t="s">
        <v>18</v>
      </c>
      <c r="G206" s="1" t="s">
        <v>60</v>
      </c>
      <c r="H206" s="1" t="s">
        <v>70</v>
      </c>
      <c r="I206" s="1" t="s">
        <v>173</v>
      </c>
      <c r="J206" s="24">
        <v>5.19</v>
      </c>
      <c r="K206" s="24">
        <v>12.98</v>
      </c>
      <c r="L206" s="28">
        <v>7.79</v>
      </c>
      <c r="M206" s="1">
        <v>49</v>
      </c>
      <c r="N206" s="28">
        <v>636.02</v>
      </c>
      <c r="O206" s="29">
        <v>0.08</v>
      </c>
      <c r="P206" s="28">
        <v>50.881599999999999</v>
      </c>
      <c r="Q206" s="28">
        <v>585.13839999999993</v>
      </c>
      <c r="R206" s="1" t="str">
        <f t="shared" si="18"/>
        <v>Apr</v>
      </c>
      <c r="S206" s="28">
        <f t="shared" si="22"/>
        <v>254.31000000000003</v>
      </c>
      <c r="T206" s="28">
        <f t="shared" si="23"/>
        <v>330.82839999999987</v>
      </c>
      <c r="U206" s="11">
        <f t="shared" si="19"/>
        <v>0.56538487304883756</v>
      </c>
      <c r="V206" s="1" t="str">
        <f t="shared" si="20"/>
        <v>Slow</v>
      </c>
      <c r="W206" s="1" t="str">
        <f t="shared" si="21"/>
        <v>OK</v>
      </c>
    </row>
    <row r="207" spans="1:23">
      <c r="A207" s="1">
        <v>56825</v>
      </c>
      <c r="B207" s="10">
        <v>45750</v>
      </c>
      <c r="C207" s="1">
        <v>21</v>
      </c>
      <c r="D207" s="1" t="s">
        <v>57</v>
      </c>
      <c r="E207" s="1" t="s">
        <v>87</v>
      </c>
      <c r="F207" s="1" t="s">
        <v>75</v>
      </c>
      <c r="G207" s="1" t="s">
        <v>81</v>
      </c>
      <c r="H207" s="1" t="s">
        <v>61</v>
      </c>
      <c r="I207" s="1" t="s">
        <v>130</v>
      </c>
      <c r="J207" s="24">
        <v>156.5</v>
      </c>
      <c r="K207" s="24">
        <v>300.97000000000003</v>
      </c>
      <c r="L207" s="28">
        <v>144.47</v>
      </c>
      <c r="M207" s="1">
        <v>39</v>
      </c>
      <c r="N207" s="28">
        <v>11737.83</v>
      </c>
      <c r="O207" s="29">
        <v>0.1</v>
      </c>
      <c r="P207" s="28">
        <v>1173.7829999999999</v>
      </c>
      <c r="Q207" s="28">
        <v>10564.047</v>
      </c>
      <c r="R207" s="1" t="str">
        <f t="shared" si="18"/>
        <v>Apr</v>
      </c>
      <c r="S207" s="28">
        <f t="shared" si="22"/>
        <v>6103.5</v>
      </c>
      <c r="T207" s="28">
        <f t="shared" si="23"/>
        <v>4460.5470000000005</v>
      </c>
      <c r="U207" s="11">
        <f t="shared" si="19"/>
        <v>0.42223846599698017</v>
      </c>
      <c r="V207" s="1" t="str">
        <f t="shared" si="20"/>
        <v>Very Slow</v>
      </c>
      <c r="W207" s="1" t="str">
        <f t="shared" si="21"/>
        <v>OK</v>
      </c>
    </row>
    <row r="208" spans="1:23">
      <c r="A208" s="1">
        <v>56826</v>
      </c>
      <c r="B208" s="10">
        <v>45751</v>
      </c>
      <c r="C208" s="1">
        <v>17</v>
      </c>
      <c r="D208" s="1" t="s">
        <v>57</v>
      </c>
      <c r="E208" s="1" t="s">
        <v>72</v>
      </c>
      <c r="F208" s="1" t="s">
        <v>84</v>
      </c>
      <c r="G208" s="1" t="s">
        <v>85</v>
      </c>
      <c r="H208" s="1" t="s">
        <v>90</v>
      </c>
      <c r="I208" s="1" t="s">
        <v>86</v>
      </c>
      <c r="J208" s="24">
        <v>5.5</v>
      </c>
      <c r="K208" s="24">
        <v>12.22</v>
      </c>
      <c r="L208" s="28">
        <v>6.7200000000000006</v>
      </c>
      <c r="M208" s="1">
        <v>10</v>
      </c>
      <c r="N208" s="28">
        <v>122.2</v>
      </c>
      <c r="O208" s="29">
        <v>0.1</v>
      </c>
      <c r="P208" s="28">
        <v>12.22</v>
      </c>
      <c r="Q208" s="28">
        <v>109.98</v>
      </c>
      <c r="R208" s="1" t="str">
        <f t="shared" si="18"/>
        <v>Apr</v>
      </c>
      <c r="S208" s="28">
        <f t="shared" si="22"/>
        <v>55</v>
      </c>
      <c r="T208" s="28">
        <f t="shared" si="23"/>
        <v>54.980000000000004</v>
      </c>
      <c r="U208" s="11">
        <f t="shared" si="19"/>
        <v>0.49990907437715948</v>
      </c>
      <c r="V208" s="1" t="str">
        <f t="shared" si="20"/>
        <v>Very Slow</v>
      </c>
      <c r="W208" s="1" t="str">
        <f t="shared" si="21"/>
        <v>OK</v>
      </c>
    </row>
    <row r="209" spans="1:23">
      <c r="A209" s="1">
        <v>56827</v>
      </c>
      <c r="B209" s="10">
        <v>45751</v>
      </c>
      <c r="C209" s="1">
        <v>9</v>
      </c>
      <c r="D209" s="1" t="s">
        <v>57</v>
      </c>
      <c r="E209" s="1" t="s">
        <v>67</v>
      </c>
      <c r="F209" s="1" t="s">
        <v>96</v>
      </c>
      <c r="G209" s="1" t="s">
        <v>60</v>
      </c>
      <c r="H209" s="1" t="s">
        <v>90</v>
      </c>
      <c r="I209" s="1" t="s">
        <v>62</v>
      </c>
      <c r="J209" s="24">
        <v>4.1900000000000004</v>
      </c>
      <c r="K209" s="24">
        <v>10.23</v>
      </c>
      <c r="L209" s="28">
        <v>6.04</v>
      </c>
      <c r="M209" s="1">
        <v>21</v>
      </c>
      <c r="N209" s="28">
        <v>214.83</v>
      </c>
      <c r="O209" s="29">
        <v>0.08</v>
      </c>
      <c r="P209" s="28">
        <v>17.186399999999999</v>
      </c>
      <c r="Q209" s="28">
        <v>197.64359999999999</v>
      </c>
      <c r="R209" s="1" t="str">
        <f t="shared" si="18"/>
        <v>Apr</v>
      </c>
      <c r="S209" s="28">
        <f t="shared" si="22"/>
        <v>87.990000000000009</v>
      </c>
      <c r="T209" s="28">
        <f t="shared" si="23"/>
        <v>109.65359999999998</v>
      </c>
      <c r="U209" s="11">
        <f t="shared" si="19"/>
        <v>0.55480470908240886</v>
      </c>
      <c r="V209" s="1" t="str">
        <f t="shared" si="20"/>
        <v>Slow</v>
      </c>
      <c r="W209" s="1" t="str">
        <f t="shared" si="21"/>
        <v>OK</v>
      </c>
    </row>
    <row r="210" spans="1:23">
      <c r="A210" s="1">
        <v>56828</v>
      </c>
      <c r="B210" s="10">
        <v>45751</v>
      </c>
      <c r="C210" s="1">
        <v>7</v>
      </c>
      <c r="D210" s="1" t="s">
        <v>78</v>
      </c>
      <c r="E210" s="1" t="s">
        <v>87</v>
      </c>
      <c r="F210" s="1" t="s">
        <v>59</v>
      </c>
      <c r="G210" s="1" t="s">
        <v>60</v>
      </c>
      <c r="H210" s="1" t="s">
        <v>90</v>
      </c>
      <c r="I210" s="1" t="s">
        <v>171</v>
      </c>
      <c r="J210" s="24">
        <v>2.9</v>
      </c>
      <c r="K210" s="24">
        <v>4.76</v>
      </c>
      <c r="L210" s="28">
        <v>1.86</v>
      </c>
      <c r="M210" s="1">
        <v>39</v>
      </c>
      <c r="N210" s="28">
        <v>185.64</v>
      </c>
      <c r="O210" s="29">
        <v>0.06</v>
      </c>
      <c r="P210" s="28">
        <v>11.138400000000001</v>
      </c>
      <c r="Q210" s="28">
        <v>174.5016</v>
      </c>
      <c r="R210" s="1" t="str">
        <f t="shared" si="18"/>
        <v>Apr</v>
      </c>
      <c r="S210" s="28">
        <f t="shared" si="22"/>
        <v>113.1</v>
      </c>
      <c r="T210" s="28">
        <f t="shared" si="23"/>
        <v>61.401600000000002</v>
      </c>
      <c r="U210" s="11">
        <f t="shared" si="19"/>
        <v>0.35186840693724303</v>
      </c>
      <c r="V210" s="1" t="str">
        <f t="shared" si="20"/>
        <v>Standard</v>
      </c>
      <c r="W210" s="1" t="str">
        <f t="shared" si="21"/>
        <v>OK</v>
      </c>
    </row>
    <row r="211" spans="1:23">
      <c r="A211" s="1">
        <v>56829</v>
      </c>
      <c r="B211" s="10">
        <v>45751</v>
      </c>
      <c r="C211" s="1">
        <v>10</v>
      </c>
      <c r="D211" s="1" t="s">
        <v>57</v>
      </c>
      <c r="E211" s="1" t="s">
        <v>72</v>
      </c>
      <c r="F211" s="1" t="s">
        <v>79</v>
      </c>
      <c r="G211" s="1" t="s">
        <v>81</v>
      </c>
      <c r="H211" s="1" t="s">
        <v>90</v>
      </c>
      <c r="I211" s="1" t="s">
        <v>110</v>
      </c>
      <c r="J211" s="24">
        <v>216</v>
      </c>
      <c r="K211" s="24">
        <v>449.99</v>
      </c>
      <c r="L211" s="28">
        <v>233.99</v>
      </c>
      <c r="M211" s="1">
        <v>6</v>
      </c>
      <c r="N211" s="28">
        <v>2699.94</v>
      </c>
      <c r="O211" s="29">
        <v>0.02</v>
      </c>
      <c r="P211" s="28">
        <v>53.998800000000003</v>
      </c>
      <c r="Q211" s="28">
        <v>2645.9412000000002</v>
      </c>
      <c r="R211" s="1" t="str">
        <f t="shared" si="18"/>
        <v>Apr</v>
      </c>
      <c r="S211" s="28">
        <f t="shared" si="22"/>
        <v>1296</v>
      </c>
      <c r="T211" s="28">
        <f t="shared" si="23"/>
        <v>1349.9412000000002</v>
      </c>
      <c r="U211" s="11">
        <f t="shared" si="19"/>
        <v>0.5101931970370317</v>
      </c>
      <c r="V211" s="1" t="str">
        <f t="shared" si="20"/>
        <v>Slow</v>
      </c>
      <c r="W211" s="1" t="str">
        <f t="shared" si="21"/>
        <v>OK</v>
      </c>
    </row>
    <row r="212" spans="1:23">
      <c r="A212" s="1">
        <v>56830</v>
      </c>
      <c r="B212" s="10">
        <v>45752</v>
      </c>
      <c r="C212" s="1">
        <v>13</v>
      </c>
      <c r="D212" s="1" t="s">
        <v>57</v>
      </c>
      <c r="E212" s="1" t="s">
        <v>72</v>
      </c>
      <c r="F212" s="1" t="s">
        <v>108</v>
      </c>
      <c r="G212" s="1" t="s">
        <v>60</v>
      </c>
      <c r="H212" s="1" t="s">
        <v>68</v>
      </c>
      <c r="I212" s="1" t="s">
        <v>103</v>
      </c>
      <c r="J212" s="24">
        <v>4.59</v>
      </c>
      <c r="K212" s="24">
        <v>7.28</v>
      </c>
      <c r="L212" s="28">
        <v>2.69</v>
      </c>
      <c r="M212" s="1">
        <v>5</v>
      </c>
      <c r="N212" s="28">
        <v>36.4</v>
      </c>
      <c r="O212" s="29">
        <v>0.05</v>
      </c>
      <c r="P212" s="28">
        <v>1.82</v>
      </c>
      <c r="Q212" s="28">
        <v>34.58</v>
      </c>
      <c r="R212" s="1" t="str">
        <f t="shared" si="18"/>
        <v>Apr</v>
      </c>
      <c r="S212" s="28">
        <f t="shared" si="22"/>
        <v>22.95</v>
      </c>
      <c r="T212" s="28">
        <f t="shared" si="23"/>
        <v>11.629999999999999</v>
      </c>
      <c r="U212" s="11">
        <f t="shared" si="19"/>
        <v>0.33632157316367839</v>
      </c>
      <c r="V212" s="1" t="str">
        <f t="shared" si="20"/>
        <v>Slow</v>
      </c>
      <c r="W212" s="1" t="str">
        <f t="shared" si="21"/>
        <v>OK</v>
      </c>
    </row>
    <row r="213" spans="1:23">
      <c r="A213" s="1">
        <v>56831</v>
      </c>
      <c r="B213" s="10">
        <v>45752</v>
      </c>
      <c r="C213" s="1">
        <v>14</v>
      </c>
      <c r="D213" s="1" t="s">
        <v>63</v>
      </c>
      <c r="E213" s="1" t="s">
        <v>87</v>
      </c>
      <c r="F213" s="1" t="s">
        <v>84</v>
      </c>
      <c r="G213" s="1" t="s">
        <v>60</v>
      </c>
      <c r="H213" s="1" t="s">
        <v>90</v>
      </c>
      <c r="I213" s="1" t="s">
        <v>191</v>
      </c>
      <c r="J213" s="24">
        <v>2.16</v>
      </c>
      <c r="K213" s="24">
        <v>3.85</v>
      </c>
      <c r="L213" s="28">
        <v>1.69</v>
      </c>
      <c r="M213" s="1">
        <v>30</v>
      </c>
      <c r="N213" s="28">
        <v>115.5</v>
      </c>
      <c r="O213" s="29">
        <v>0.09</v>
      </c>
      <c r="P213" s="28">
        <v>10.395</v>
      </c>
      <c r="Q213" s="28">
        <v>105.105</v>
      </c>
      <c r="R213" s="1" t="str">
        <f t="shared" si="18"/>
        <v>Apr</v>
      </c>
      <c r="S213" s="28">
        <f t="shared" si="22"/>
        <v>64.800000000000011</v>
      </c>
      <c r="T213" s="28">
        <f t="shared" si="23"/>
        <v>40.304999999999993</v>
      </c>
      <c r="U213" s="11">
        <f t="shared" si="19"/>
        <v>0.38347366918795484</v>
      </c>
      <c r="V213" s="1" t="str">
        <f t="shared" si="20"/>
        <v>Slow</v>
      </c>
      <c r="W213" s="1" t="str">
        <f t="shared" si="21"/>
        <v>OK</v>
      </c>
    </row>
    <row r="214" spans="1:23">
      <c r="A214" s="1">
        <v>56832</v>
      </c>
      <c r="B214" s="10">
        <v>45754</v>
      </c>
      <c r="C214" s="1">
        <v>6</v>
      </c>
      <c r="D214" s="1" t="s">
        <v>78</v>
      </c>
      <c r="E214" s="1" t="s">
        <v>67</v>
      </c>
      <c r="F214" s="1" t="s">
        <v>98</v>
      </c>
      <c r="G214" s="1" t="s">
        <v>60</v>
      </c>
      <c r="H214" s="1" t="s">
        <v>61</v>
      </c>
      <c r="I214" s="1" t="s">
        <v>157</v>
      </c>
      <c r="J214" s="24">
        <v>4.53</v>
      </c>
      <c r="K214" s="24">
        <v>7.3</v>
      </c>
      <c r="L214" s="28">
        <v>2.77</v>
      </c>
      <c r="M214" s="1">
        <v>43</v>
      </c>
      <c r="N214" s="28">
        <v>313.89999999999998</v>
      </c>
      <c r="O214" s="29">
        <v>0.1</v>
      </c>
      <c r="P214" s="28">
        <v>31.39</v>
      </c>
      <c r="Q214" s="28">
        <v>282.51</v>
      </c>
      <c r="R214" s="1" t="str">
        <f t="shared" si="18"/>
        <v>Apr</v>
      </c>
      <c r="S214" s="28">
        <f t="shared" si="22"/>
        <v>194.79000000000002</v>
      </c>
      <c r="T214" s="28">
        <f t="shared" si="23"/>
        <v>87.71999999999997</v>
      </c>
      <c r="U214" s="11">
        <f t="shared" si="19"/>
        <v>0.31050228310502276</v>
      </c>
      <c r="V214" s="1" t="str">
        <f t="shared" si="20"/>
        <v>Standard</v>
      </c>
      <c r="W214" s="1" t="str">
        <f t="shared" si="21"/>
        <v>OK</v>
      </c>
    </row>
    <row r="215" spans="1:23">
      <c r="A215" s="1">
        <v>56833</v>
      </c>
      <c r="B215" s="10">
        <v>45754</v>
      </c>
      <c r="C215" s="1">
        <v>21</v>
      </c>
      <c r="D215" s="1" t="s">
        <v>78</v>
      </c>
      <c r="E215" s="1" t="s">
        <v>87</v>
      </c>
      <c r="F215" s="1" t="s">
        <v>96</v>
      </c>
      <c r="G215" s="1" t="s">
        <v>60</v>
      </c>
      <c r="H215" s="1" t="s">
        <v>70</v>
      </c>
      <c r="I215" s="1" t="s">
        <v>114</v>
      </c>
      <c r="J215" s="24">
        <v>2.59</v>
      </c>
      <c r="K215" s="24">
        <v>3.98</v>
      </c>
      <c r="L215" s="28">
        <v>1.39</v>
      </c>
      <c r="M215" s="1">
        <v>10</v>
      </c>
      <c r="N215" s="28">
        <v>39.799999999999997</v>
      </c>
      <c r="O215" s="29">
        <v>0.01</v>
      </c>
      <c r="P215" s="28">
        <v>0.39800000000000002</v>
      </c>
      <c r="Q215" s="28">
        <v>39.401999999999987</v>
      </c>
      <c r="R215" s="1" t="str">
        <f t="shared" si="18"/>
        <v>Apr</v>
      </c>
      <c r="S215" s="28">
        <f t="shared" si="22"/>
        <v>25.9</v>
      </c>
      <c r="T215" s="28">
        <f t="shared" si="23"/>
        <v>13.501999999999988</v>
      </c>
      <c r="U215" s="11">
        <f t="shared" si="19"/>
        <v>0.34267296076341286</v>
      </c>
      <c r="V215" s="1" t="str">
        <f t="shared" si="20"/>
        <v>Very Slow</v>
      </c>
      <c r="W215" s="1" t="str">
        <f t="shared" si="21"/>
        <v>OK</v>
      </c>
    </row>
    <row r="216" spans="1:23">
      <c r="A216" s="1">
        <v>56834</v>
      </c>
      <c r="B216" s="10">
        <v>45754</v>
      </c>
      <c r="C216" s="1">
        <v>9</v>
      </c>
      <c r="D216" s="1" t="s">
        <v>57</v>
      </c>
      <c r="E216" s="1" t="s">
        <v>67</v>
      </c>
      <c r="F216" s="1" t="s">
        <v>59</v>
      </c>
      <c r="G216" s="1" t="s">
        <v>60</v>
      </c>
      <c r="H216" s="1" t="s">
        <v>68</v>
      </c>
      <c r="I216" s="1" t="s">
        <v>192</v>
      </c>
      <c r="J216" s="24">
        <v>1.1499999999999999</v>
      </c>
      <c r="K216" s="24">
        <v>2.67</v>
      </c>
      <c r="L216" s="28">
        <v>1.52</v>
      </c>
      <c r="M216" s="1">
        <v>19</v>
      </c>
      <c r="N216" s="28">
        <v>50.73</v>
      </c>
      <c r="O216" s="29">
        <v>0.03</v>
      </c>
      <c r="P216" s="28">
        <v>1.5219</v>
      </c>
      <c r="Q216" s="28">
        <v>49.208099999999988</v>
      </c>
      <c r="R216" s="1" t="str">
        <f t="shared" si="18"/>
        <v>Apr</v>
      </c>
      <c r="S216" s="28">
        <f t="shared" si="22"/>
        <v>21.849999999999998</v>
      </c>
      <c r="T216" s="28">
        <f t="shared" si="23"/>
        <v>27.35809999999999</v>
      </c>
      <c r="U216" s="11">
        <f t="shared" si="19"/>
        <v>0.55596741186918408</v>
      </c>
      <c r="V216" s="1" t="str">
        <f t="shared" si="20"/>
        <v>Slow</v>
      </c>
      <c r="W216" s="1" t="str">
        <f t="shared" si="21"/>
        <v>OK</v>
      </c>
    </row>
    <row r="217" spans="1:23">
      <c r="A217" s="1">
        <v>56835</v>
      </c>
      <c r="B217" s="10">
        <v>45754</v>
      </c>
      <c r="C217" s="1">
        <v>16</v>
      </c>
      <c r="D217" s="1" t="s">
        <v>57</v>
      </c>
      <c r="E217" s="1" t="s">
        <v>87</v>
      </c>
      <c r="F217" s="1" t="s">
        <v>73</v>
      </c>
      <c r="G217" s="1" t="s">
        <v>60</v>
      </c>
      <c r="H217" s="1" t="s">
        <v>70</v>
      </c>
      <c r="I217" s="1" t="s">
        <v>193</v>
      </c>
      <c r="J217" s="24">
        <v>1.57</v>
      </c>
      <c r="K217" s="24">
        <v>3.28</v>
      </c>
      <c r="L217" s="28">
        <v>1.71</v>
      </c>
      <c r="M217" s="1">
        <v>41</v>
      </c>
      <c r="N217" s="28">
        <v>134.47999999999999</v>
      </c>
      <c r="O217" s="29">
        <v>0</v>
      </c>
      <c r="P217" s="28">
        <v>0</v>
      </c>
      <c r="Q217" s="28">
        <v>134.47999999999999</v>
      </c>
      <c r="R217" s="1" t="str">
        <f t="shared" si="18"/>
        <v>Apr</v>
      </c>
      <c r="S217" s="28">
        <f t="shared" si="22"/>
        <v>64.37</v>
      </c>
      <c r="T217" s="28">
        <f t="shared" si="23"/>
        <v>70.109999999999985</v>
      </c>
      <c r="U217" s="11">
        <f t="shared" si="19"/>
        <v>0.52134146341463405</v>
      </c>
      <c r="V217" s="1" t="str">
        <f t="shared" si="20"/>
        <v>Very Slow</v>
      </c>
      <c r="W217" s="1" t="str">
        <f t="shared" si="21"/>
        <v>OK</v>
      </c>
    </row>
    <row r="218" spans="1:23">
      <c r="A218" s="1">
        <v>56836</v>
      </c>
      <c r="B218" s="10">
        <v>45755</v>
      </c>
      <c r="C218" s="1">
        <v>17</v>
      </c>
      <c r="D218" s="1" t="s">
        <v>57</v>
      </c>
      <c r="E218" s="1" t="s">
        <v>72</v>
      </c>
      <c r="F218" s="1" t="s">
        <v>64</v>
      </c>
      <c r="G218" s="1" t="s">
        <v>60</v>
      </c>
      <c r="H218" s="1" t="s">
        <v>61</v>
      </c>
      <c r="I218" s="1" t="s">
        <v>97</v>
      </c>
      <c r="J218" s="24">
        <v>1.6</v>
      </c>
      <c r="K218" s="24">
        <v>2.62</v>
      </c>
      <c r="L218" s="28">
        <v>1.02</v>
      </c>
      <c r="M218" s="1">
        <v>52</v>
      </c>
      <c r="N218" s="28">
        <v>136.24</v>
      </c>
      <c r="O218" s="29">
        <v>0.1</v>
      </c>
      <c r="P218" s="28">
        <v>13.624000000000001</v>
      </c>
      <c r="Q218" s="28">
        <v>122.616</v>
      </c>
      <c r="R218" s="1" t="str">
        <f t="shared" si="18"/>
        <v>Apr</v>
      </c>
      <c r="S218" s="28">
        <f t="shared" si="22"/>
        <v>83.2</v>
      </c>
      <c r="T218" s="28">
        <f t="shared" si="23"/>
        <v>39.415999999999997</v>
      </c>
      <c r="U218" s="11">
        <f t="shared" si="19"/>
        <v>0.32145886344359625</v>
      </c>
      <c r="V218" s="1" t="str">
        <f t="shared" si="20"/>
        <v>Very Slow</v>
      </c>
      <c r="W218" s="1" t="str">
        <f t="shared" si="21"/>
        <v>OK</v>
      </c>
    </row>
    <row r="219" spans="1:23">
      <c r="A219" s="1">
        <v>56837</v>
      </c>
      <c r="B219" s="10">
        <v>45755</v>
      </c>
      <c r="C219" s="1">
        <v>16</v>
      </c>
      <c r="D219" s="1" t="s">
        <v>78</v>
      </c>
      <c r="E219" s="1" t="s">
        <v>87</v>
      </c>
      <c r="F219" s="1" t="s">
        <v>98</v>
      </c>
      <c r="G219" s="1" t="s">
        <v>60</v>
      </c>
      <c r="H219" s="1" t="s">
        <v>68</v>
      </c>
      <c r="I219" s="1" t="s">
        <v>175</v>
      </c>
      <c r="J219" s="24">
        <v>4.79</v>
      </c>
      <c r="K219" s="24">
        <v>11.97</v>
      </c>
      <c r="L219" s="28">
        <v>7.1800000000000006</v>
      </c>
      <c r="M219" s="1">
        <v>31</v>
      </c>
      <c r="N219" s="28">
        <v>371.07</v>
      </c>
      <c r="O219" s="29">
        <v>0.08</v>
      </c>
      <c r="P219" s="28">
        <v>29.685600000000001</v>
      </c>
      <c r="Q219" s="28">
        <v>341.38440000000003</v>
      </c>
      <c r="R219" s="1" t="str">
        <f t="shared" si="18"/>
        <v>Apr</v>
      </c>
      <c r="S219" s="28">
        <f t="shared" si="22"/>
        <v>148.49</v>
      </c>
      <c r="T219" s="28">
        <f t="shared" si="23"/>
        <v>192.89440000000002</v>
      </c>
      <c r="U219" s="11">
        <f t="shared" si="19"/>
        <v>0.56503577785042314</v>
      </c>
      <c r="V219" s="1" t="str">
        <f t="shared" si="20"/>
        <v>Very Slow</v>
      </c>
      <c r="W219" s="1" t="str">
        <f t="shared" si="21"/>
        <v>OK</v>
      </c>
    </row>
    <row r="220" spans="1:23">
      <c r="A220" s="1">
        <v>56838</v>
      </c>
      <c r="B220" s="10">
        <v>45755</v>
      </c>
      <c r="C220" s="1">
        <v>4</v>
      </c>
      <c r="D220" s="1" t="s">
        <v>57</v>
      </c>
      <c r="E220" s="1" t="s">
        <v>72</v>
      </c>
      <c r="F220" s="1" t="s">
        <v>64</v>
      </c>
      <c r="G220" s="1" t="s">
        <v>81</v>
      </c>
      <c r="H220" s="1" t="s">
        <v>90</v>
      </c>
      <c r="I220" s="1" t="s">
        <v>150</v>
      </c>
      <c r="J220" s="24">
        <v>8.82</v>
      </c>
      <c r="K220" s="24">
        <v>20.99</v>
      </c>
      <c r="L220" s="28">
        <v>12.17</v>
      </c>
      <c r="M220" s="1">
        <v>24</v>
      </c>
      <c r="N220" s="28">
        <v>503.76</v>
      </c>
      <c r="O220" s="29">
        <v>0.01</v>
      </c>
      <c r="P220" s="28">
        <v>5.0376000000000003</v>
      </c>
      <c r="Q220" s="28">
        <v>498.72239999999999</v>
      </c>
      <c r="R220" s="1" t="str">
        <f t="shared" si="18"/>
        <v>Apr</v>
      </c>
      <c r="S220" s="28">
        <f t="shared" si="22"/>
        <v>211.68</v>
      </c>
      <c r="T220" s="28">
        <f t="shared" si="23"/>
        <v>287.04239999999999</v>
      </c>
      <c r="U220" s="11">
        <f t="shared" si="19"/>
        <v>0.57555545930962793</v>
      </c>
      <c r="V220" s="1" t="str">
        <f t="shared" si="20"/>
        <v>Standard</v>
      </c>
      <c r="W220" s="1" t="str">
        <f t="shared" si="21"/>
        <v>OK</v>
      </c>
    </row>
    <row r="221" spans="1:23">
      <c r="A221" s="1">
        <v>56839</v>
      </c>
      <c r="B221" s="10">
        <v>45756</v>
      </c>
      <c r="C221" s="1">
        <v>20</v>
      </c>
      <c r="D221" s="1" t="s">
        <v>57</v>
      </c>
      <c r="E221" s="1" t="s">
        <v>67</v>
      </c>
      <c r="F221" s="1" t="s">
        <v>59</v>
      </c>
      <c r="G221" s="1" t="s">
        <v>60</v>
      </c>
      <c r="H221" s="1" t="s">
        <v>90</v>
      </c>
      <c r="I221" s="1" t="s">
        <v>69</v>
      </c>
      <c r="J221" s="24">
        <v>3.37</v>
      </c>
      <c r="K221" s="24">
        <v>5.53</v>
      </c>
      <c r="L221" s="28">
        <v>2.16</v>
      </c>
      <c r="M221" s="1">
        <v>14</v>
      </c>
      <c r="N221" s="28">
        <v>77.42</v>
      </c>
      <c r="O221" s="29">
        <v>0.06</v>
      </c>
      <c r="P221" s="28">
        <v>4.6452</v>
      </c>
      <c r="Q221" s="28">
        <v>72.774799999999999</v>
      </c>
      <c r="R221" s="1" t="str">
        <f t="shared" si="18"/>
        <v>Apr</v>
      </c>
      <c r="S221" s="28">
        <f t="shared" si="22"/>
        <v>47.18</v>
      </c>
      <c r="T221" s="28">
        <f t="shared" si="23"/>
        <v>25.594799999999999</v>
      </c>
      <c r="U221" s="11">
        <f t="shared" si="19"/>
        <v>0.35169866492247315</v>
      </c>
      <c r="V221" s="1" t="str">
        <f t="shared" si="20"/>
        <v>Very Slow</v>
      </c>
      <c r="W221" s="1" t="str">
        <f t="shared" si="21"/>
        <v>OK</v>
      </c>
    </row>
    <row r="222" spans="1:23">
      <c r="A222" s="1">
        <v>56840</v>
      </c>
      <c r="B222" s="10">
        <v>45756</v>
      </c>
      <c r="C222" s="1">
        <v>2</v>
      </c>
      <c r="D222" s="1" t="s">
        <v>78</v>
      </c>
      <c r="E222" s="1" t="s">
        <v>72</v>
      </c>
      <c r="F222" s="1" t="s">
        <v>59</v>
      </c>
      <c r="G222" s="1" t="s">
        <v>60</v>
      </c>
      <c r="H222" s="1" t="s">
        <v>90</v>
      </c>
      <c r="I222" s="1" t="s">
        <v>191</v>
      </c>
      <c r="J222" s="24">
        <v>2.16</v>
      </c>
      <c r="K222" s="24">
        <v>3.85</v>
      </c>
      <c r="L222" s="28">
        <v>1.69</v>
      </c>
      <c r="M222" s="1">
        <v>12</v>
      </c>
      <c r="N222" s="28">
        <v>46.2</v>
      </c>
      <c r="O222" s="29">
        <v>0.1</v>
      </c>
      <c r="P222" s="28">
        <v>4.62</v>
      </c>
      <c r="Q222" s="28">
        <v>41.580000000000013</v>
      </c>
      <c r="R222" s="1" t="str">
        <f t="shared" si="18"/>
        <v>Apr</v>
      </c>
      <c r="S222" s="28">
        <f t="shared" si="22"/>
        <v>25.92</v>
      </c>
      <c r="T222" s="28">
        <f t="shared" si="23"/>
        <v>15.660000000000011</v>
      </c>
      <c r="U222" s="11">
        <f t="shared" si="19"/>
        <v>0.37662337662337675</v>
      </c>
      <c r="V222" s="1" t="str">
        <f t="shared" si="20"/>
        <v>Fast</v>
      </c>
      <c r="W222" s="1" t="str">
        <f t="shared" si="21"/>
        <v>OK</v>
      </c>
    </row>
    <row r="223" spans="1:23">
      <c r="A223" s="1">
        <v>56841</v>
      </c>
      <c r="B223" s="10">
        <v>45756</v>
      </c>
      <c r="C223" s="1">
        <v>16</v>
      </c>
      <c r="D223" s="1" t="s">
        <v>57</v>
      </c>
      <c r="E223" s="1" t="s">
        <v>72</v>
      </c>
      <c r="F223" s="1" t="s">
        <v>98</v>
      </c>
      <c r="G223" s="1" t="s">
        <v>60</v>
      </c>
      <c r="H223" s="1" t="s">
        <v>90</v>
      </c>
      <c r="I223" s="1" t="s">
        <v>194</v>
      </c>
      <c r="J223" s="24">
        <v>1.84</v>
      </c>
      <c r="K223" s="24">
        <v>2.88</v>
      </c>
      <c r="L223" s="28">
        <v>1.04</v>
      </c>
      <c r="M223" s="1">
        <v>18</v>
      </c>
      <c r="N223" s="28">
        <v>51.84</v>
      </c>
      <c r="O223" s="29">
        <v>0.1</v>
      </c>
      <c r="P223" s="28">
        <v>5.1840000000000002</v>
      </c>
      <c r="Q223" s="28">
        <v>46.655999999999999</v>
      </c>
      <c r="R223" s="1" t="str">
        <f t="shared" si="18"/>
        <v>Apr</v>
      </c>
      <c r="S223" s="28">
        <f t="shared" si="22"/>
        <v>33.120000000000005</v>
      </c>
      <c r="T223" s="28">
        <f t="shared" si="23"/>
        <v>13.535999999999994</v>
      </c>
      <c r="U223" s="11">
        <f t="shared" si="19"/>
        <v>0.29012345679012336</v>
      </c>
      <c r="V223" s="1" t="str">
        <f t="shared" si="20"/>
        <v>Very Slow</v>
      </c>
      <c r="W223" s="1" t="str">
        <f t="shared" si="21"/>
        <v>OK</v>
      </c>
    </row>
    <row r="224" spans="1:23">
      <c r="A224" s="1">
        <v>56842</v>
      </c>
      <c r="B224" s="10">
        <v>45758</v>
      </c>
      <c r="C224" s="1">
        <v>13</v>
      </c>
      <c r="D224" s="1" t="s">
        <v>63</v>
      </c>
      <c r="E224" s="1" t="s">
        <v>87</v>
      </c>
      <c r="F224" s="1" t="s">
        <v>64</v>
      </c>
      <c r="G224" s="1" t="s">
        <v>81</v>
      </c>
      <c r="H224" s="1" t="s">
        <v>65</v>
      </c>
      <c r="I224" s="1" t="s">
        <v>160</v>
      </c>
      <c r="J224" s="24">
        <v>14.7</v>
      </c>
      <c r="K224" s="24">
        <v>29.99</v>
      </c>
      <c r="L224" s="28">
        <v>15.29</v>
      </c>
      <c r="M224" s="1">
        <v>13</v>
      </c>
      <c r="N224" s="28">
        <v>389.87</v>
      </c>
      <c r="O224" s="29">
        <v>0.08</v>
      </c>
      <c r="P224" s="28">
        <v>31.189599999999999</v>
      </c>
      <c r="Q224" s="28">
        <v>358.68040000000002</v>
      </c>
      <c r="R224" s="1" t="str">
        <f t="shared" si="18"/>
        <v>Apr</v>
      </c>
      <c r="S224" s="28">
        <f t="shared" si="22"/>
        <v>191.1</v>
      </c>
      <c r="T224" s="28">
        <f t="shared" si="23"/>
        <v>167.58040000000003</v>
      </c>
      <c r="U224" s="11">
        <f t="shared" si="19"/>
        <v>0.46721370891746528</v>
      </c>
      <c r="V224" s="1" t="str">
        <f t="shared" si="20"/>
        <v>Slow</v>
      </c>
      <c r="W224" s="1" t="str">
        <f t="shared" si="21"/>
        <v>OK</v>
      </c>
    </row>
    <row r="225" spans="1:23">
      <c r="A225" s="1">
        <v>56843</v>
      </c>
      <c r="B225" s="10">
        <v>45760</v>
      </c>
      <c r="C225" s="1">
        <v>12</v>
      </c>
      <c r="D225" s="1" t="s">
        <v>57</v>
      </c>
      <c r="E225" s="1" t="s">
        <v>72</v>
      </c>
      <c r="F225" s="1" t="s">
        <v>96</v>
      </c>
      <c r="G225" s="1" t="s">
        <v>81</v>
      </c>
      <c r="H225" s="1" t="s">
        <v>61</v>
      </c>
      <c r="I225" s="1" t="s">
        <v>110</v>
      </c>
      <c r="J225" s="24">
        <v>278.99</v>
      </c>
      <c r="K225" s="24">
        <v>449.99</v>
      </c>
      <c r="L225" s="28">
        <v>171</v>
      </c>
      <c r="M225" s="1">
        <v>38</v>
      </c>
      <c r="N225" s="28">
        <v>17099.62</v>
      </c>
      <c r="O225" s="29">
        <v>0.01</v>
      </c>
      <c r="P225" s="28">
        <v>170.99619999999999</v>
      </c>
      <c r="Q225" s="28">
        <v>16928.623800000001</v>
      </c>
      <c r="R225" s="1" t="str">
        <f t="shared" si="18"/>
        <v>Apr</v>
      </c>
      <c r="S225" s="28">
        <f t="shared" si="22"/>
        <v>10601.62</v>
      </c>
      <c r="T225" s="28">
        <f t="shared" si="23"/>
        <v>6327.0038000000004</v>
      </c>
      <c r="U225" s="11">
        <f t="shared" si="19"/>
        <v>0.37374590366879085</v>
      </c>
      <c r="V225" s="1" t="str">
        <f t="shared" si="20"/>
        <v>Slow</v>
      </c>
      <c r="W225" s="1" t="str">
        <f t="shared" si="21"/>
        <v>OK</v>
      </c>
    </row>
    <row r="226" spans="1:23">
      <c r="A226" s="1">
        <v>56844</v>
      </c>
      <c r="B226" s="10">
        <v>45761</v>
      </c>
      <c r="C226" s="1">
        <v>16</v>
      </c>
      <c r="D226" s="1" t="s">
        <v>63</v>
      </c>
      <c r="E226" s="1" t="s">
        <v>72</v>
      </c>
      <c r="F226" s="1" t="s">
        <v>100</v>
      </c>
      <c r="G226" s="1" t="s">
        <v>60</v>
      </c>
      <c r="H226" s="1" t="s">
        <v>68</v>
      </c>
      <c r="I226" s="1" t="s">
        <v>195</v>
      </c>
      <c r="J226" s="24">
        <v>21.97</v>
      </c>
      <c r="K226" s="24">
        <v>35.44</v>
      </c>
      <c r="L226" s="28">
        <v>13.47</v>
      </c>
      <c r="M226" s="1">
        <v>51</v>
      </c>
      <c r="N226" s="28">
        <v>1807.44</v>
      </c>
      <c r="O226" s="29">
        <v>0.08</v>
      </c>
      <c r="P226" s="28">
        <v>144.59520000000001</v>
      </c>
      <c r="Q226" s="28">
        <v>1662.8448000000001</v>
      </c>
      <c r="R226" s="1" t="str">
        <f t="shared" si="18"/>
        <v>Apr</v>
      </c>
      <c r="S226" s="28">
        <f t="shared" si="22"/>
        <v>1120.47</v>
      </c>
      <c r="T226" s="28">
        <f t="shared" si="23"/>
        <v>542.37480000000005</v>
      </c>
      <c r="U226" s="11">
        <f t="shared" si="19"/>
        <v>0.32617283344783593</v>
      </c>
      <c r="V226" s="1" t="str">
        <f t="shared" si="20"/>
        <v>Very Slow</v>
      </c>
      <c r="W226" s="1" t="str">
        <f t="shared" si="21"/>
        <v>OK</v>
      </c>
    </row>
    <row r="227" spans="1:23">
      <c r="A227" s="1">
        <v>56845</v>
      </c>
      <c r="B227" s="10">
        <v>45761</v>
      </c>
      <c r="C227" s="1">
        <v>5</v>
      </c>
      <c r="D227" s="1" t="s">
        <v>78</v>
      </c>
      <c r="E227" s="1" t="s">
        <v>67</v>
      </c>
      <c r="F227" s="1" t="s">
        <v>100</v>
      </c>
      <c r="G227" s="1" t="s">
        <v>60</v>
      </c>
      <c r="H227" s="1" t="s">
        <v>65</v>
      </c>
      <c r="I227" s="1" t="s">
        <v>196</v>
      </c>
      <c r="J227" s="24">
        <v>4.8899999999999997</v>
      </c>
      <c r="K227" s="24">
        <v>7.64</v>
      </c>
      <c r="L227" s="28">
        <v>2.75</v>
      </c>
      <c r="M227" s="1">
        <v>36</v>
      </c>
      <c r="N227" s="28">
        <v>275.04000000000002</v>
      </c>
      <c r="O227" s="29">
        <v>0.06</v>
      </c>
      <c r="P227" s="28">
        <v>16.502400000000002</v>
      </c>
      <c r="Q227" s="28">
        <v>258.53759999999988</v>
      </c>
      <c r="R227" s="1" t="str">
        <f t="shared" si="18"/>
        <v>Apr</v>
      </c>
      <c r="S227" s="28">
        <f t="shared" si="22"/>
        <v>176.04</v>
      </c>
      <c r="T227" s="28">
        <f t="shared" si="23"/>
        <v>82.497599999999892</v>
      </c>
      <c r="U227" s="11">
        <f t="shared" si="19"/>
        <v>0.31909323827559288</v>
      </c>
      <c r="V227" s="1" t="str">
        <f t="shared" si="20"/>
        <v>Standard</v>
      </c>
      <c r="W227" s="1" t="str">
        <f t="shared" si="21"/>
        <v>OK</v>
      </c>
    </row>
    <row r="228" spans="1:23">
      <c r="A228" s="1">
        <v>56846</v>
      </c>
      <c r="B228" s="10">
        <v>45761</v>
      </c>
      <c r="C228" s="1">
        <v>17</v>
      </c>
      <c r="D228" s="1" t="s">
        <v>57</v>
      </c>
      <c r="E228" s="1" t="s">
        <v>67</v>
      </c>
      <c r="F228" s="1" t="s">
        <v>18</v>
      </c>
      <c r="G228" s="1" t="s">
        <v>60</v>
      </c>
      <c r="H228" s="1" t="s">
        <v>65</v>
      </c>
      <c r="I228" s="1" t="s">
        <v>62</v>
      </c>
      <c r="J228" s="24">
        <v>4.1900000000000004</v>
      </c>
      <c r="K228" s="24">
        <v>10.23</v>
      </c>
      <c r="L228" s="28">
        <v>6.04</v>
      </c>
      <c r="M228" s="1">
        <v>9</v>
      </c>
      <c r="N228" s="28">
        <v>92.070000000000007</v>
      </c>
      <c r="O228" s="29">
        <v>7.0000000000000007E-2</v>
      </c>
      <c r="P228" s="28">
        <v>6.4449000000000014</v>
      </c>
      <c r="Q228" s="28">
        <v>85.625100000000003</v>
      </c>
      <c r="R228" s="1" t="str">
        <f t="shared" si="18"/>
        <v>Apr</v>
      </c>
      <c r="S228" s="28">
        <f t="shared" si="22"/>
        <v>37.71</v>
      </c>
      <c r="T228" s="28">
        <f t="shared" si="23"/>
        <v>47.915100000000002</v>
      </c>
      <c r="U228" s="11">
        <f t="shared" si="19"/>
        <v>0.55959175522130777</v>
      </c>
      <c r="V228" s="1" t="str">
        <f t="shared" si="20"/>
        <v>Very Slow</v>
      </c>
      <c r="W228" s="1" t="str">
        <f t="shared" si="21"/>
        <v>OK</v>
      </c>
    </row>
    <row r="229" spans="1:23">
      <c r="A229" s="1">
        <v>56847</v>
      </c>
      <c r="B229" s="10">
        <v>45761</v>
      </c>
      <c r="C229" s="1">
        <v>10</v>
      </c>
      <c r="D229" s="1" t="s">
        <v>57</v>
      </c>
      <c r="E229" s="1" t="s">
        <v>87</v>
      </c>
      <c r="F229" s="1" t="s">
        <v>64</v>
      </c>
      <c r="G229" s="1" t="s">
        <v>60</v>
      </c>
      <c r="H229" s="1" t="s">
        <v>90</v>
      </c>
      <c r="I229" s="1" t="s">
        <v>91</v>
      </c>
      <c r="J229" s="24">
        <v>0.93</v>
      </c>
      <c r="K229" s="24">
        <v>1.48</v>
      </c>
      <c r="L229" s="28">
        <v>0.54999999999999993</v>
      </c>
      <c r="M229" s="1">
        <v>44</v>
      </c>
      <c r="N229" s="28">
        <v>65.12</v>
      </c>
      <c r="O229" s="29">
        <v>0</v>
      </c>
      <c r="P229" s="28">
        <v>0</v>
      </c>
      <c r="Q229" s="28">
        <v>65.12</v>
      </c>
      <c r="R229" s="1" t="str">
        <f t="shared" si="18"/>
        <v>Apr</v>
      </c>
      <c r="S229" s="28">
        <f t="shared" si="22"/>
        <v>40.92</v>
      </c>
      <c r="T229" s="28">
        <f t="shared" si="23"/>
        <v>24.200000000000003</v>
      </c>
      <c r="U229" s="11">
        <f t="shared" si="19"/>
        <v>0.37162162162162166</v>
      </c>
      <c r="V229" s="1" t="str">
        <f t="shared" si="20"/>
        <v>Slow</v>
      </c>
      <c r="W229" s="1" t="str">
        <f t="shared" si="21"/>
        <v>OK</v>
      </c>
    </row>
    <row r="230" spans="1:23">
      <c r="A230" s="1">
        <v>56848</v>
      </c>
      <c r="B230" s="10">
        <v>45761</v>
      </c>
      <c r="C230" s="1">
        <v>5</v>
      </c>
      <c r="D230" s="1" t="s">
        <v>57</v>
      </c>
      <c r="E230" s="1" t="s">
        <v>87</v>
      </c>
      <c r="F230" s="1" t="s">
        <v>79</v>
      </c>
      <c r="G230" s="1" t="s">
        <v>60</v>
      </c>
      <c r="H230" s="1" t="s">
        <v>90</v>
      </c>
      <c r="I230" s="1" t="s">
        <v>99</v>
      </c>
      <c r="J230" s="24">
        <v>21.56</v>
      </c>
      <c r="K230" s="24">
        <v>35.94</v>
      </c>
      <c r="L230" s="28">
        <v>14.38</v>
      </c>
      <c r="M230" s="1">
        <v>13</v>
      </c>
      <c r="N230" s="28">
        <v>467.22</v>
      </c>
      <c r="O230" s="29">
        <v>0.03</v>
      </c>
      <c r="P230" s="28">
        <v>14.0166</v>
      </c>
      <c r="Q230" s="28">
        <v>453.20339999999999</v>
      </c>
      <c r="R230" s="1" t="str">
        <f t="shared" si="18"/>
        <v>Apr</v>
      </c>
      <c r="S230" s="28">
        <f t="shared" si="22"/>
        <v>280.27999999999997</v>
      </c>
      <c r="T230" s="28">
        <f t="shared" si="23"/>
        <v>172.92340000000002</v>
      </c>
      <c r="U230" s="11">
        <f t="shared" si="19"/>
        <v>0.38155803773758101</v>
      </c>
      <c r="V230" s="1" t="str">
        <f t="shared" si="20"/>
        <v>Standard</v>
      </c>
      <c r="W230" s="1" t="str">
        <f t="shared" si="21"/>
        <v>OK</v>
      </c>
    </row>
    <row r="231" spans="1:23">
      <c r="A231" s="1">
        <v>56849</v>
      </c>
      <c r="B231" s="10">
        <v>45762</v>
      </c>
      <c r="C231" s="1">
        <v>9</v>
      </c>
      <c r="D231" s="1" t="s">
        <v>57</v>
      </c>
      <c r="E231" s="1" t="s">
        <v>87</v>
      </c>
      <c r="F231" s="1" t="s">
        <v>59</v>
      </c>
      <c r="G231" s="1" t="s">
        <v>60</v>
      </c>
      <c r="H231" s="1" t="s">
        <v>65</v>
      </c>
      <c r="I231" s="1" t="s">
        <v>142</v>
      </c>
      <c r="J231" s="24">
        <v>2.29</v>
      </c>
      <c r="K231" s="24">
        <v>3.69</v>
      </c>
      <c r="L231" s="28">
        <v>1.4</v>
      </c>
      <c r="M231" s="1">
        <v>14</v>
      </c>
      <c r="N231" s="28">
        <v>51.66</v>
      </c>
      <c r="O231" s="29">
        <v>0.02</v>
      </c>
      <c r="P231" s="28">
        <v>1.0331999999999999</v>
      </c>
      <c r="Q231" s="28">
        <v>50.626800000000003</v>
      </c>
      <c r="R231" s="1" t="str">
        <f t="shared" si="18"/>
        <v>Apr</v>
      </c>
      <c r="S231" s="28">
        <f t="shared" si="22"/>
        <v>32.06</v>
      </c>
      <c r="T231" s="28">
        <f t="shared" si="23"/>
        <v>18.566800000000001</v>
      </c>
      <c r="U231" s="11">
        <f t="shared" si="19"/>
        <v>0.36673856534483712</v>
      </c>
      <c r="V231" s="1" t="str">
        <f t="shared" si="20"/>
        <v>Slow</v>
      </c>
      <c r="W231" s="1" t="str">
        <f t="shared" si="21"/>
        <v>OK</v>
      </c>
    </row>
    <row r="232" spans="1:23">
      <c r="A232" s="1">
        <v>56850</v>
      </c>
      <c r="B232" s="10">
        <v>45762</v>
      </c>
      <c r="C232" s="1">
        <v>12</v>
      </c>
      <c r="D232" s="1" t="s">
        <v>57</v>
      </c>
      <c r="E232" s="1" t="s">
        <v>58</v>
      </c>
      <c r="F232" s="1" t="s">
        <v>64</v>
      </c>
      <c r="G232" s="1" t="s">
        <v>81</v>
      </c>
      <c r="H232" s="1" t="s">
        <v>68</v>
      </c>
      <c r="I232" s="1" t="s">
        <v>143</v>
      </c>
      <c r="J232" s="24">
        <v>42.11</v>
      </c>
      <c r="K232" s="24">
        <v>80.98</v>
      </c>
      <c r="L232" s="28">
        <v>38.869999999999997</v>
      </c>
      <c r="M232" s="1">
        <v>40</v>
      </c>
      <c r="N232" s="28">
        <v>3239.2</v>
      </c>
      <c r="O232" s="29">
        <v>0</v>
      </c>
      <c r="P232" s="28">
        <v>0</v>
      </c>
      <c r="Q232" s="28">
        <v>3239.2</v>
      </c>
      <c r="R232" s="1" t="str">
        <f t="shared" si="18"/>
        <v>Apr</v>
      </c>
      <c r="S232" s="28">
        <f t="shared" si="22"/>
        <v>1684.4</v>
      </c>
      <c r="T232" s="28">
        <f t="shared" si="23"/>
        <v>1554.7999999999997</v>
      </c>
      <c r="U232" s="11">
        <f t="shared" si="19"/>
        <v>0.47999506050876756</v>
      </c>
      <c r="V232" s="1" t="str">
        <f t="shared" si="20"/>
        <v>Slow</v>
      </c>
      <c r="W232" s="1" t="str">
        <f t="shared" si="21"/>
        <v>OK</v>
      </c>
    </row>
    <row r="233" spans="1:23">
      <c r="A233" s="1">
        <v>56851</v>
      </c>
      <c r="B233" s="10">
        <v>45763</v>
      </c>
      <c r="C233" s="1">
        <v>9</v>
      </c>
      <c r="D233" s="1" t="s">
        <v>78</v>
      </c>
      <c r="E233" s="1" t="s">
        <v>58</v>
      </c>
      <c r="F233" s="1" t="s">
        <v>79</v>
      </c>
      <c r="G233" s="1" t="s">
        <v>60</v>
      </c>
      <c r="H233" s="1" t="s">
        <v>65</v>
      </c>
      <c r="I233" s="1" t="s">
        <v>197</v>
      </c>
      <c r="J233" s="24">
        <v>2.74</v>
      </c>
      <c r="K233" s="24">
        <v>4.49</v>
      </c>
      <c r="L233" s="28">
        <v>1.75</v>
      </c>
      <c r="M233" s="1">
        <v>6</v>
      </c>
      <c r="N233" s="28">
        <v>26.94</v>
      </c>
      <c r="O233" s="29">
        <v>0.03</v>
      </c>
      <c r="P233" s="28">
        <v>0.80820000000000003</v>
      </c>
      <c r="Q233" s="28">
        <v>26.131799999999998</v>
      </c>
      <c r="R233" s="1" t="str">
        <f t="shared" si="18"/>
        <v>Apr</v>
      </c>
      <c r="S233" s="28">
        <f t="shared" si="22"/>
        <v>16.440000000000001</v>
      </c>
      <c r="T233" s="28">
        <f t="shared" si="23"/>
        <v>9.6917999999999971</v>
      </c>
      <c r="U233" s="11">
        <f t="shared" si="19"/>
        <v>0.3708814547792344</v>
      </c>
      <c r="V233" s="1" t="str">
        <f t="shared" si="20"/>
        <v>Slow</v>
      </c>
      <c r="W233" s="1" t="str">
        <f t="shared" si="21"/>
        <v>OK</v>
      </c>
    </row>
    <row r="234" spans="1:23">
      <c r="A234" s="1">
        <v>56852</v>
      </c>
      <c r="B234" s="10">
        <v>45763</v>
      </c>
      <c r="C234" s="1">
        <v>6</v>
      </c>
      <c r="D234" s="1" t="s">
        <v>78</v>
      </c>
      <c r="E234" s="1" t="s">
        <v>87</v>
      </c>
      <c r="F234" s="1" t="s">
        <v>100</v>
      </c>
      <c r="G234" s="1" t="s">
        <v>60</v>
      </c>
      <c r="H234" s="1" t="s">
        <v>61</v>
      </c>
      <c r="I234" s="1" t="s">
        <v>198</v>
      </c>
      <c r="J234" s="24">
        <v>2.52</v>
      </c>
      <c r="K234" s="24">
        <v>4</v>
      </c>
      <c r="L234" s="28">
        <v>1.48</v>
      </c>
      <c r="M234" s="1">
        <v>32</v>
      </c>
      <c r="N234" s="28">
        <v>128</v>
      </c>
      <c r="O234" s="29">
        <v>0.08</v>
      </c>
      <c r="P234" s="28">
        <v>10.24</v>
      </c>
      <c r="Q234" s="28">
        <v>117.76</v>
      </c>
      <c r="R234" s="1" t="str">
        <f t="shared" si="18"/>
        <v>Apr</v>
      </c>
      <c r="S234" s="28">
        <f t="shared" si="22"/>
        <v>80.64</v>
      </c>
      <c r="T234" s="28">
        <f t="shared" si="23"/>
        <v>37.120000000000005</v>
      </c>
      <c r="U234" s="11">
        <f t="shared" si="19"/>
        <v>0.31521739130434784</v>
      </c>
      <c r="V234" s="1" t="str">
        <f t="shared" si="20"/>
        <v>Standard</v>
      </c>
      <c r="W234" s="1" t="str">
        <f t="shared" si="21"/>
        <v>OK</v>
      </c>
    </row>
    <row r="235" spans="1:23">
      <c r="A235" s="1">
        <v>56853</v>
      </c>
      <c r="B235" s="10">
        <v>45764</v>
      </c>
      <c r="C235" s="1">
        <v>9</v>
      </c>
      <c r="D235" s="1" t="s">
        <v>57</v>
      </c>
      <c r="E235" s="1" t="s">
        <v>58</v>
      </c>
      <c r="F235" s="1" t="s">
        <v>75</v>
      </c>
      <c r="G235" s="1" t="s">
        <v>60</v>
      </c>
      <c r="H235" s="1" t="s">
        <v>70</v>
      </c>
      <c r="I235" s="1" t="s">
        <v>199</v>
      </c>
      <c r="J235" s="24">
        <v>2.98</v>
      </c>
      <c r="K235" s="24">
        <v>5.84</v>
      </c>
      <c r="L235" s="28">
        <v>2.86</v>
      </c>
      <c r="M235" s="1">
        <v>18</v>
      </c>
      <c r="N235" s="28">
        <v>105.12</v>
      </c>
      <c r="O235" s="29">
        <v>0.01</v>
      </c>
      <c r="P235" s="28">
        <v>1.0511999999999999</v>
      </c>
      <c r="Q235" s="28">
        <v>104.0688</v>
      </c>
      <c r="R235" s="1" t="str">
        <f t="shared" si="18"/>
        <v>Apr</v>
      </c>
      <c r="S235" s="28">
        <f t="shared" si="22"/>
        <v>53.64</v>
      </c>
      <c r="T235" s="28">
        <f t="shared" si="23"/>
        <v>50.428799999999995</v>
      </c>
      <c r="U235" s="11">
        <f t="shared" si="19"/>
        <v>0.48457174484571741</v>
      </c>
      <c r="V235" s="1" t="str">
        <f t="shared" si="20"/>
        <v>Slow</v>
      </c>
      <c r="W235" s="1" t="str">
        <f t="shared" si="21"/>
        <v>OK</v>
      </c>
    </row>
    <row r="236" spans="1:23">
      <c r="A236" s="1">
        <v>56854</v>
      </c>
      <c r="B236" s="10">
        <v>45764</v>
      </c>
      <c r="C236" s="1">
        <v>6</v>
      </c>
      <c r="D236" s="1" t="s">
        <v>78</v>
      </c>
      <c r="E236" s="1" t="s">
        <v>67</v>
      </c>
      <c r="F236" s="1" t="s">
        <v>59</v>
      </c>
      <c r="G236" s="1" t="s">
        <v>60</v>
      </c>
      <c r="H236" s="1" t="s">
        <v>61</v>
      </c>
      <c r="I236" s="1" t="s">
        <v>193</v>
      </c>
      <c r="J236" s="24">
        <v>1.57</v>
      </c>
      <c r="K236" s="24">
        <v>3.28</v>
      </c>
      <c r="L236" s="28">
        <v>1.71</v>
      </c>
      <c r="M236" s="1">
        <v>24</v>
      </c>
      <c r="N236" s="28">
        <v>78.72</v>
      </c>
      <c r="O236" s="29">
        <v>0.08</v>
      </c>
      <c r="P236" s="28">
        <v>6.2976000000000001</v>
      </c>
      <c r="Q236" s="28">
        <v>72.422399999999996</v>
      </c>
      <c r="R236" s="1" t="str">
        <f t="shared" si="18"/>
        <v>Apr</v>
      </c>
      <c r="S236" s="28">
        <f t="shared" si="22"/>
        <v>37.68</v>
      </c>
      <c r="T236" s="28">
        <f t="shared" si="23"/>
        <v>34.742399999999996</v>
      </c>
      <c r="U236" s="11">
        <f t="shared" si="19"/>
        <v>0.4797189819724284</v>
      </c>
      <c r="V236" s="1" t="str">
        <f t="shared" si="20"/>
        <v>Standard</v>
      </c>
      <c r="W236" s="1" t="str">
        <f t="shared" si="21"/>
        <v>OK</v>
      </c>
    </row>
    <row r="237" spans="1:23">
      <c r="A237" s="1">
        <v>56855</v>
      </c>
      <c r="B237" s="10">
        <v>45764</v>
      </c>
      <c r="C237" s="1">
        <v>17</v>
      </c>
      <c r="D237" s="1" t="s">
        <v>63</v>
      </c>
      <c r="E237" s="1" t="s">
        <v>72</v>
      </c>
      <c r="F237" s="1" t="s">
        <v>108</v>
      </c>
      <c r="G237" s="1" t="s">
        <v>60</v>
      </c>
      <c r="H237" s="1" t="s">
        <v>65</v>
      </c>
      <c r="I237" s="1" t="s">
        <v>105</v>
      </c>
      <c r="J237" s="24">
        <v>3.47</v>
      </c>
      <c r="K237" s="24">
        <v>6.68</v>
      </c>
      <c r="L237" s="28">
        <v>3.21</v>
      </c>
      <c r="M237" s="1">
        <v>28</v>
      </c>
      <c r="N237" s="28">
        <v>187.04</v>
      </c>
      <c r="O237" s="29">
        <v>0.03</v>
      </c>
      <c r="P237" s="28">
        <v>5.6111999999999993</v>
      </c>
      <c r="Q237" s="28">
        <v>181.4288</v>
      </c>
      <c r="R237" s="1" t="str">
        <f t="shared" si="18"/>
        <v>Apr</v>
      </c>
      <c r="S237" s="28">
        <f t="shared" si="22"/>
        <v>97.160000000000011</v>
      </c>
      <c r="T237" s="28">
        <f t="shared" si="23"/>
        <v>84.268799999999985</v>
      </c>
      <c r="U237" s="11">
        <f t="shared" si="19"/>
        <v>0.46447311562442117</v>
      </c>
      <c r="V237" s="1" t="str">
        <f t="shared" si="20"/>
        <v>Very Slow</v>
      </c>
      <c r="W237" s="1" t="str">
        <f t="shared" si="21"/>
        <v>OK</v>
      </c>
    </row>
    <row r="238" spans="1:23">
      <c r="A238" s="1">
        <v>56856</v>
      </c>
      <c r="B238" s="10">
        <v>45765</v>
      </c>
      <c r="C238" s="1">
        <v>13</v>
      </c>
      <c r="D238" s="1" t="s">
        <v>57</v>
      </c>
      <c r="E238" s="1" t="s">
        <v>58</v>
      </c>
      <c r="F238" s="1" t="s">
        <v>75</v>
      </c>
      <c r="G238" s="1" t="s">
        <v>60</v>
      </c>
      <c r="H238" s="1" t="s">
        <v>90</v>
      </c>
      <c r="I238" s="1" t="s">
        <v>121</v>
      </c>
      <c r="J238" s="24">
        <v>1.84</v>
      </c>
      <c r="K238" s="24">
        <v>2.88</v>
      </c>
      <c r="L238" s="28">
        <v>1.04</v>
      </c>
      <c r="M238" s="1">
        <v>9</v>
      </c>
      <c r="N238" s="28">
        <v>25.92</v>
      </c>
      <c r="O238" s="29">
        <v>0</v>
      </c>
      <c r="P238" s="28">
        <v>0</v>
      </c>
      <c r="Q238" s="28">
        <v>25.92</v>
      </c>
      <c r="R238" s="1" t="str">
        <f t="shared" si="18"/>
        <v>Apr</v>
      </c>
      <c r="S238" s="28">
        <f t="shared" si="22"/>
        <v>16.560000000000002</v>
      </c>
      <c r="T238" s="28">
        <f t="shared" si="23"/>
        <v>9.36</v>
      </c>
      <c r="U238" s="11">
        <f t="shared" si="19"/>
        <v>0.36111111111111105</v>
      </c>
      <c r="V238" s="1" t="str">
        <f t="shared" si="20"/>
        <v>Slow</v>
      </c>
      <c r="W238" s="1" t="str">
        <f t="shared" si="21"/>
        <v>OK</v>
      </c>
    </row>
    <row r="239" spans="1:23">
      <c r="A239" s="1">
        <v>56857</v>
      </c>
      <c r="B239" s="10">
        <v>45767</v>
      </c>
      <c r="C239" s="1">
        <v>9</v>
      </c>
      <c r="D239" s="1" t="s">
        <v>57</v>
      </c>
      <c r="E239" s="1" t="s">
        <v>87</v>
      </c>
      <c r="F239" s="1" t="s">
        <v>75</v>
      </c>
      <c r="G239" s="1" t="s">
        <v>60</v>
      </c>
      <c r="H239" s="1" t="s">
        <v>68</v>
      </c>
      <c r="I239" s="1" t="s">
        <v>180</v>
      </c>
      <c r="J239" s="24">
        <v>54.29</v>
      </c>
      <c r="K239" s="24">
        <v>90.48</v>
      </c>
      <c r="L239" s="28">
        <v>36.19</v>
      </c>
      <c r="M239" s="1">
        <v>18</v>
      </c>
      <c r="N239" s="28">
        <v>1628.64</v>
      </c>
      <c r="O239" s="29">
        <v>0</v>
      </c>
      <c r="P239" s="28">
        <v>0</v>
      </c>
      <c r="Q239" s="28">
        <v>1628.64</v>
      </c>
      <c r="R239" s="1" t="str">
        <f t="shared" si="18"/>
        <v>Apr</v>
      </c>
      <c r="S239" s="28">
        <f t="shared" si="22"/>
        <v>977.22</v>
      </c>
      <c r="T239" s="28">
        <f t="shared" si="23"/>
        <v>651.42000000000007</v>
      </c>
      <c r="U239" s="11">
        <f t="shared" si="19"/>
        <v>0.39997789566755088</v>
      </c>
      <c r="V239" s="1" t="str">
        <f t="shared" si="20"/>
        <v>Slow</v>
      </c>
      <c r="W239" s="1" t="str">
        <f t="shared" si="21"/>
        <v>OK</v>
      </c>
    </row>
    <row r="240" spans="1:23">
      <c r="A240" s="1">
        <v>56858</v>
      </c>
      <c r="B240" s="10">
        <v>45767</v>
      </c>
      <c r="C240" s="1">
        <v>14</v>
      </c>
      <c r="D240" s="1" t="s">
        <v>57</v>
      </c>
      <c r="E240" s="1" t="s">
        <v>87</v>
      </c>
      <c r="F240" s="1" t="s">
        <v>108</v>
      </c>
      <c r="G240" s="1" t="s">
        <v>81</v>
      </c>
      <c r="H240" s="1" t="s">
        <v>70</v>
      </c>
      <c r="I240" s="1" t="s">
        <v>113</v>
      </c>
      <c r="J240" s="24">
        <v>10.07</v>
      </c>
      <c r="K240" s="24">
        <v>15.98</v>
      </c>
      <c r="L240" s="28">
        <v>5.91</v>
      </c>
      <c r="M240" s="1">
        <v>21</v>
      </c>
      <c r="N240" s="28">
        <v>335.58</v>
      </c>
      <c r="O240" s="29">
        <v>0.01</v>
      </c>
      <c r="P240" s="28">
        <v>3.3557999999999999</v>
      </c>
      <c r="Q240" s="28">
        <v>332.2242</v>
      </c>
      <c r="R240" s="1" t="str">
        <f t="shared" si="18"/>
        <v>Apr</v>
      </c>
      <c r="S240" s="28">
        <f t="shared" si="22"/>
        <v>211.47</v>
      </c>
      <c r="T240" s="28">
        <f t="shared" si="23"/>
        <v>120.7542</v>
      </c>
      <c r="U240" s="11">
        <f t="shared" si="19"/>
        <v>0.36347201678866259</v>
      </c>
      <c r="V240" s="1" t="str">
        <f t="shared" si="20"/>
        <v>Slow</v>
      </c>
      <c r="W240" s="1" t="str">
        <f t="shared" si="21"/>
        <v>OK</v>
      </c>
    </row>
    <row r="241" spans="1:23">
      <c r="A241" s="1">
        <v>56859</v>
      </c>
      <c r="B241" s="10">
        <v>45767</v>
      </c>
      <c r="C241" s="1">
        <v>13</v>
      </c>
      <c r="D241" s="1" t="s">
        <v>57</v>
      </c>
      <c r="E241" s="1" t="s">
        <v>58</v>
      </c>
      <c r="F241" s="1" t="s">
        <v>73</v>
      </c>
      <c r="G241" s="1" t="s">
        <v>60</v>
      </c>
      <c r="H241" s="1" t="s">
        <v>68</v>
      </c>
      <c r="I241" s="1" t="s">
        <v>167</v>
      </c>
      <c r="J241" s="24">
        <v>0.9</v>
      </c>
      <c r="K241" s="24">
        <v>2.1</v>
      </c>
      <c r="L241" s="28">
        <v>1.2</v>
      </c>
      <c r="M241" s="1">
        <v>25</v>
      </c>
      <c r="N241" s="28">
        <v>52.5</v>
      </c>
      <c r="O241" s="29">
        <v>0.04</v>
      </c>
      <c r="P241" s="28">
        <v>2.1</v>
      </c>
      <c r="Q241" s="28">
        <v>50.4</v>
      </c>
      <c r="R241" s="1" t="str">
        <f t="shared" si="18"/>
        <v>Apr</v>
      </c>
      <c r="S241" s="28">
        <f t="shared" si="22"/>
        <v>22.5</v>
      </c>
      <c r="T241" s="28">
        <f t="shared" si="23"/>
        <v>27.9</v>
      </c>
      <c r="U241" s="11">
        <f t="shared" si="19"/>
        <v>0.5535714285714286</v>
      </c>
      <c r="V241" s="1" t="str">
        <f t="shared" si="20"/>
        <v>Slow</v>
      </c>
      <c r="W241" s="1" t="str">
        <f t="shared" si="21"/>
        <v>OK</v>
      </c>
    </row>
    <row r="242" spans="1:23">
      <c r="A242" s="1">
        <v>56860</v>
      </c>
      <c r="B242" s="10">
        <v>45768</v>
      </c>
      <c r="C242" s="1">
        <v>17</v>
      </c>
      <c r="D242" s="1" t="s">
        <v>78</v>
      </c>
      <c r="E242" s="1" t="s">
        <v>67</v>
      </c>
      <c r="F242" s="1" t="s">
        <v>18</v>
      </c>
      <c r="G242" s="1" t="s">
        <v>60</v>
      </c>
      <c r="H242" s="1" t="s">
        <v>68</v>
      </c>
      <c r="I242" s="1" t="s">
        <v>200</v>
      </c>
      <c r="J242" s="24">
        <v>3.99</v>
      </c>
      <c r="K242" s="24">
        <v>6.23</v>
      </c>
      <c r="L242" s="28">
        <v>2.2400000000000002</v>
      </c>
      <c r="M242" s="1">
        <v>4</v>
      </c>
      <c r="N242" s="28">
        <v>24.92</v>
      </c>
      <c r="O242" s="29">
        <v>0.1</v>
      </c>
      <c r="P242" s="28">
        <v>2.492</v>
      </c>
      <c r="Q242" s="28">
        <v>22.428000000000001</v>
      </c>
      <c r="R242" s="1" t="str">
        <f t="shared" si="18"/>
        <v>Apr</v>
      </c>
      <c r="S242" s="28">
        <f t="shared" si="22"/>
        <v>15.96</v>
      </c>
      <c r="T242" s="28">
        <f t="shared" si="23"/>
        <v>6.468</v>
      </c>
      <c r="U242" s="11">
        <f t="shared" si="19"/>
        <v>0.28838951310861421</v>
      </c>
      <c r="V242" s="1" t="str">
        <f t="shared" si="20"/>
        <v>Very Slow</v>
      </c>
      <c r="W242" s="1" t="str">
        <f t="shared" si="21"/>
        <v>OK</v>
      </c>
    </row>
    <row r="243" spans="1:23">
      <c r="A243" s="1">
        <v>56861</v>
      </c>
      <c r="B243" s="10">
        <v>45768</v>
      </c>
      <c r="C243" s="1">
        <v>8</v>
      </c>
      <c r="D243" s="1" t="s">
        <v>78</v>
      </c>
      <c r="E243" s="1" t="s">
        <v>67</v>
      </c>
      <c r="F243" s="1" t="s">
        <v>64</v>
      </c>
      <c r="G243" s="1" t="s">
        <v>60</v>
      </c>
      <c r="H243" s="1" t="s">
        <v>65</v>
      </c>
      <c r="I243" s="1" t="s">
        <v>165</v>
      </c>
      <c r="J243" s="24">
        <v>1.3</v>
      </c>
      <c r="K243" s="24">
        <v>2.88</v>
      </c>
      <c r="L243" s="28">
        <v>1.58</v>
      </c>
      <c r="M243" s="1">
        <v>41</v>
      </c>
      <c r="N243" s="28">
        <v>118.08</v>
      </c>
      <c r="O243" s="29">
        <v>0.1</v>
      </c>
      <c r="P243" s="28">
        <v>11.808</v>
      </c>
      <c r="Q243" s="28">
        <v>106.27200000000001</v>
      </c>
      <c r="R243" s="1" t="str">
        <f t="shared" si="18"/>
        <v>Apr</v>
      </c>
      <c r="S243" s="28">
        <f t="shared" si="22"/>
        <v>53.300000000000004</v>
      </c>
      <c r="T243" s="28">
        <f t="shared" si="23"/>
        <v>52.972000000000001</v>
      </c>
      <c r="U243" s="11">
        <f t="shared" si="19"/>
        <v>0.49845679012345678</v>
      </c>
      <c r="V243" s="1" t="str">
        <f t="shared" si="20"/>
        <v>Slow</v>
      </c>
      <c r="W243" s="1" t="str">
        <f t="shared" si="21"/>
        <v>OK</v>
      </c>
    </row>
    <row r="244" spans="1:23">
      <c r="A244" s="1">
        <v>56862</v>
      </c>
      <c r="B244" s="10">
        <v>45769</v>
      </c>
      <c r="C244" s="1">
        <v>11</v>
      </c>
      <c r="D244" s="1" t="s">
        <v>57</v>
      </c>
      <c r="E244" s="1" t="s">
        <v>87</v>
      </c>
      <c r="F244" s="1" t="s">
        <v>18</v>
      </c>
      <c r="G244" s="1" t="s">
        <v>60</v>
      </c>
      <c r="H244" s="1" t="s">
        <v>90</v>
      </c>
      <c r="I244" s="1" t="s">
        <v>190</v>
      </c>
      <c r="J244" s="24">
        <v>5.22</v>
      </c>
      <c r="K244" s="24">
        <v>9.85</v>
      </c>
      <c r="L244" s="28">
        <v>4.63</v>
      </c>
      <c r="M244" s="1">
        <v>39</v>
      </c>
      <c r="N244" s="28">
        <v>384.15</v>
      </c>
      <c r="O244" s="29">
        <v>0.05</v>
      </c>
      <c r="P244" s="28">
        <v>19.2075</v>
      </c>
      <c r="Q244" s="28">
        <v>364.9425</v>
      </c>
      <c r="R244" s="1" t="str">
        <f t="shared" si="18"/>
        <v>Apr</v>
      </c>
      <c r="S244" s="28">
        <f t="shared" si="22"/>
        <v>203.57999999999998</v>
      </c>
      <c r="T244" s="28">
        <f t="shared" si="23"/>
        <v>161.36250000000001</v>
      </c>
      <c r="U244" s="11">
        <f t="shared" si="19"/>
        <v>0.44215869623296822</v>
      </c>
      <c r="V244" s="1" t="str">
        <f t="shared" si="20"/>
        <v>Slow</v>
      </c>
      <c r="W244" s="1" t="str">
        <f t="shared" si="21"/>
        <v>OK</v>
      </c>
    </row>
    <row r="245" spans="1:23">
      <c r="A245" s="1">
        <v>56863</v>
      </c>
      <c r="B245" s="10">
        <v>45769</v>
      </c>
      <c r="C245" s="1">
        <v>15</v>
      </c>
      <c r="D245" s="1" t="s">
        <v>63</v>
      </c>
      <c r="E245" s="1" t="s">
        <v>87</v>
      </c>
      <c r="F245" s="1" t="s">
        <v>75</v>
      </c>
      <c r="G245" s="1" t="s">
        <v>60</v>
      </c>
      <c r="H245" s="1" t="s">
        <v>68</v>
      </c>
      <c r="I245" s="1" t="s">
        <v>136</v>
      </c>
      <c r="J245" s="24">
        <v>18.38</v>
      </c>
      <c r="K245" s="24">
        <v>29.17</v>
      </c>
      <c r="L245" s="28">
        <v>10.79</v>
      </c>
      <c r="M245" s="1">
        <v>1</v>
      </c>
      <c r="N245" s="28">
        <v>29.17</v>
      </c>
      <c r="O245" s="29">
        <v>0.02</v>
      </c>
      <c r="P245" s="28">
        <v>0.58340000000000003</v>
      </c>
      <c r="Q245" s="28">
        <v>28.586600000000001</v>
      </c>
      <c r="R245" s="1" t="str">
        <f t="shared" si="18"/>
        <v>Apr</v>
      </c>
      <c r="S245" s="28">
        <f t="shared" si="22"/>
        <v>18.38</v>
      </c>
      <c r="T245" s="28">
        <f t="shared" si="23"/>
        <v>10.206600000000002</v>
      </c>
      <c r="U245" s="11">
        <f t="shared" si="19"/>
        <v>0.35704141101075332</v>
      </c>
      <c r="V245" s="1" t="str">
        <f t="shared" si="20"/>
        <v>Very Slow</v>
      </c>
      <c r="W245" s="1" t="str">
        <f t="shared" si="21"/>
        <v>OK</v>
      </c>
    </row>
    <row r="246" spans="1:23">
      <c r="A246" s="1">
        <v>56864</v>
      </c>
      <c r="B246" s="10">
        <v>45770</v>
      </c>
      <c r="C246" s="1">
        <v>7</v>
      </c>
      <c r="D246" s="1" t="s">
        <v>63</v>
      </c>
      <c r="E246" s="1" t="s">
        <v>72</v>
      </c>
      <c r="F246" s="1" t="s">
        <v>108</v>
      </c>
      <c r="G246" s="1" t="s">
        <v>60</v>
      </c>
      <c r="H246" s="1" t="s">
        <v>90</v>
      </c>
      <c r="I246" s="1" t="s">
        <v>191</v>
      </c>
      <c r="J246" s="24">
        <v>2.16</v>
      </c>
      <c r="K246" s="24">
        <v>3.85</v>
      </c>
      <c r="L246" s="28">
        <v>1.69</v>
      </c>
      <c r="M246" s="1">
        <v>5</v>
      </c>
      <c r="N246" s="28">
        <v>19.25</v>
      </c>
      <c r="O246" s="29">
        <v>0.09</v>
      </c>
      <c r="P246" s="28">
        <v>1.7324999999999999</v>
      </c>
      <c r="Q246" s="28">
        <v>17.517499999999998</v>
      </c>
      <c r="R246" s="1" t="str">
        <f t="shared" si="18"/>
        <v>Apr</v>
      </c>
      <c r="S246" s="28">
        <f t="shared" si="22"/>
        <v>10.8</v>
      </c>
      <c r="T246" s="28">
        <f t="shared" si="23"/>
        <v>6.7174999999999976</v>
      </c>
      <c r="U246" s="11">
        <f t="shared" si="19"/>
        <v>0.38347366918795478</v>
      </c>
      <c r="V246" s="1" t="str">
        <f t="shared" si="20"/>
        <v>Standard</v>
      </c>
      <c r="W246" s="1" t="str">
        <f t="shared" si="21"/>
        <v>OK</v>
      </c>
    </row>
    <row r="247" spans="1:23">
      <c r="A247" s="1">
        <v>56865</v>
      </c>
      <c r="B247" s="10">
        <v>45772</v>
      </c>
      <c r="C247" s="1">
        <v>21</v>
      </c>
      <c r="D247" s="1" t="s">
        <v>57</v>
      </c>
      <c r="E247" s="1" t="s">
        <v>87</v>
      </c>
      <c r="F247" s="1" t="s">
        <v>18</v>
      </c>
      <c r="G247" s="1" t="s">
        <v>60</v>
      </c>
      <c r="H247" s="1" t="s">
        <v>70</v>
      </c>
      <c r="I247" s="1" t="s">
        <v>129</v>
      </c>
      <c r="J247" s="24">
        <v>0.93</v>
      </c>
      <c r="K247" s="24">
        <v>1.6</v>
      </c>
      <c r="L247" s="28">
        <v>0.67</v>
      </c>
      <c r="M247" s="1">
        <v>43</v>
      </c>
      <c r="N247" s="28">
        <v>68.8</v>
      </c>
      <c r="O247" s="29">
        <v>0.01</v>
      </c>
      <c r="P247" s="28">
        <v>0.68799999999999994</v>
      </c>
      <c r="Q247" s="28">
        <v>68.111999999999995</v>
      </c>
      <c r="R247" s="1" t="str">
        <f t="shared" si="18"/>
        <v>Apr</v>
      </c>
      <c r="S247" s="28">
        <f t="shared" si="22"/>
        <v>39.99</v>
      </c>
      <c r="T247" s="28">
        <f t="shared" si="23"/>
        <v>28.121999999999993</v>
      </c>
      <c r="U247" s="11">
        <f t="shared" si="19"/>
        <v>0.41287878787878779</v>
      </c>
      <c r="V247" s="1" t="str">
        <f t="shared" si="20"/>
        <v>Very Slow</v>
      </c>
      <c r="W247" s="1" t="str">
        <f t="shared" si="21"/>
        <v>OK</v>
      </c>
    </row>
    <row r="248" spans="1:23">
      <c r="A248" s="1">
        <v>56866</v>
      </c>
      <c r="B248" s="10">
        <v>45772</v>
      </c>
      <c r="C248" s="1">
        <v>14</v>
      </c>
      <c r="D248" s="1" t="s">
        <v>57</v>
      </c>
      <c r="E248" s="1" t="s">
        <v>72</v>
      </c>
      <c r="F248" s="1" t="s">
        <v>59</v>
      </c>
      <c r="G248" s="1" t="s">
        <v>60</v>
      </c>
      <c r="H248" s="1" t="s">
        <v>90</v>
      </c>
      <c r="I248" s="1" t="s">
        <v>134</v>
      </c>
      <c r="J248" s="24">
        <v>5.33</v>
      </c>
      <c r="K248" s="24">
        <v>8.6</v>
      </c>
      <c r="L248" s="28">
        <v>3.27</v>
      </c>
      <c r="M248" s="1">
        <v>3</v>
      </c>
      <c r="N248" s="28">
        <v>25.8</v>
      </c>
      <c r="O248" s="29">
        <v>0.05</v>
      </c>
      <c r="P248" s="28">
        <v>1.29</v>
      </c>
      <c r="Q248" s="28">
        <v>24.51</v>
      </c>
      <c r="R248" s="1" t="str">
        <f t="shared" si="18"/>
        <v>Apr</v>
      </c>
      <c r="S248" s="28">
        <f t="shared" si="22"/>
        <v>15.99</v>
      </c>
      <c r="T248" s="28">
        <f t="shared" si="23"/>
        <v>8.5200000000000014</v>
      </c>
      <c r="U248" s="11">
        <f t="shared" si="19"/>
        <v>0.34761321909424731</v>
      </c>
      <c r="V248" s="1" t="str">
        <f t="shared" si="20"/>
        <v>Slow</v>
      </c>
      <c r="W248" s="1" t="str">
        <f t="shared" si="21"/>
        <v>OK</v>
      </c>
    </row>
    <row r="249" spans="1:23">
      <c r="A249" s="1">
        <v>56867</v>
      </c>
      <c r="B249" s="10">
        <v>45773</v>
      </c>
      <c r="C249" s="1">
        <v>20</v>
      </c>
      <c r="D249" s="1" t="s">
        <v>57</v>
      </c>
      <c r="E249" s="1" t="s">
        <v>72</v>
      </c>
      <c r="F249" s="1" t="s">
        <v>73</v>
      </c>
      <c r="G249" s="1" t="s">
        <v>81</v>
      </c>
      <c r="H249" s="1" t="s">
        <v>70</v>
      </c>
      <c r="I249" s="1" t="s">
        <v>188</v>
      </c>
      <c r="J249" s="24">
        <v>41.28</v>
      </c>
      <c r="K249" s="24">
        <v>95.99</v>
      </c>
      <c r="L249" s="28">
        <v>54.709999999999987</v>
      </c>
      <c r="M249" s="1">
        <v>36</v>
      </c>
      <c r="N249" s="28">
        <v>3455.64</v>
      </c>
      <c r="O249" s="29">
        <v>0.05</v>
      </c>
      <c r="P249" s="28">
        <v>172.78200000000001</v>
      </c>
      <c r="Q249" s="28">
        <v>3282.8580000000002</v>
      </c>
      <c r="R249" s="1" t="str">
        <f t="shared" si="18"/>
        <v>Apr</v>
      </c>
      <c r="S249" s="28">
        <f t="shared" si="22"/>
        <v>1486.08</v>
      </c>
      <c r="T249" s="28">
        <f t="shared" si="23"/>
        <v>1796.7780000000002</v>
      </c>
      <c r="U249" s="11">
        <f t="shared" si="19"/>
        <v>0.54732126701794603</v>
      </c>
      <c r="V249" s="1" t="str">
        <f t="shared" si="20"/>
        <v>Very Slow</v>
      </c>
      <c r="W249" s="1" t="str">
        <f t="shared" si="21"/>
        <v>OK</v>
      </c>
    </row>
    <row r="250" spans="1:23">
      <c r="A250" s="1">
        <v>56868</v>
      </c>
      <c r="B250" s="10">
        <v>45773</v>
      </c>
      <c r="C250" s="1">
        <v>18</v>
      </c>
      <c r="D250" s="1" t="s">
        <v>57</v>
      </c>
      <c r="E250" s="1" t="s">
        <v>72</v>
      </c>
      <c r="F250" s="1" t="s">
        <v>88</v>
      </c>
      <c r="G250" s="1" t="s">
        <v>60</v>
      </c>
      <c r="H250" s="1" t="s">
        <v>61</v>
      </c>
      <c r="I250" s="1" t="s">
        <v>200</v>
      </c>
      <c r="J250" s="24">
        <v>3.99</v>
      </c>
      <c r="K250" s="24">
        <v>6.23</v>
      </c>
      <c r="L250" s="28">
        <v>2.2400000000000002</v>
      </c>
      <c r="M250" s="1">
        <v>32</v>
      </c>
      <c r="N250" s="28">
        <v>199.36</v>
      </c>
      <c r="O250" s="29">
        <v>0.08</v>
      </c>
      <c r="P250" s="28">
        <v>15.9488</v>
      </c>
      <c r="Q250" s="28">
        <v>183.41120000000001</v>
      </c>
      <c r="R250" s="1" t="str">
        <f t="shared" si="18"/>
        <v>Apr</v>
      </c>
      <c r="S250" s="28">
        <f t="shared" si="22"/>
        <v>127.68</v>
      </c>
      <c r="T250" s="28">
        <f t="shared" si="23"/>
        <v>55.731200000000001</v>
      </c>
      <c r="U250" s="11">
        <f t="shared" si="19"/>
        <v>0.30385930630190522</v>
      </c>
      <c r="V250" s="1" t="str">
        <f t="shared" si="20"/>
        <v>Very Slow</v>
      </c>
      <c r="W250" s="1" t="str">
        <f t="shared" si="21"/>
        <v>OK</v>
      </c>
    </row>
    <row r="251" spans="1:23">
      <c r="A251" s="1">
        <v>56869</v>
      </c>
      <c r="B251" s="10">
        <v>45773</v>
      </c>
      <c r="C251" s="1">
        <v>3</v>
      </c>
      <c r="D251" s="1" t="s">
        <v>57</v>
      </c>
      <c r="E251" s="1" t="s">
        <v>58</v>
      </c>
      <c r="F251" s="1" t="s">
        <v>59</v>
      </c>
      <c r="G251" s="1" t="s">
        <v>60</v>
      </c>
      <c r="H251" s="1" t="s">
        <v>65</v>
      </c>
      <c r="I251" s="1" t="s">
        <v>80</v>
      </c>
      <c r="J251" s="24">
        <v>4.46</v>
      </c>
      <c r="K251" s="24">
        <v>10.89</v>
      </c>
      <c r="L251" s="28">
        <v>6.4300000000000006</v>
      </c>
      <c r="M251" s="1">
        <v>33</v>
      </c>
      <c r="N251" s="28">
        <v>359.37</v>
      </c>
      <c r="O251" s="29">
        <v>0.1</v>
      </c>
      <c r="P251" s="28">
        <v>35.936999999999998</v>
      </c>
      <c r="Q251" s="28">
        <v>323.43299999999999</v>
      </c>
      <c r="R251" s="1" t="str">
        <f t="shared" si="18"/>
        <v>Apr</v>
      </c>
      <c r="S251" s="28">
        <f t="shared" si="22"/>
        <v>147.18</v>
      </c>
      <c r="T251" s="28">
        <f t="shared" si="23"/>
        <v>176.25299999999999</v>
      </c>
      <c r="U251" s="11">
        <f t="shared" si="19"/>
        <v>0.54494439342924184</v>
      </c>
      <c r="V251" s="1" t="str">
        <f t="shared" si="20"/>
        <v>Fast</v>
      </c>
      <c r="W251" s="1" t="str">
        <f t="shared" si="21"/>
        <v>OK</v>
      </c>
    </row>
    <row r="252" spans="1:23">
      <c r="A252" s="1">
        <v>56870</v>
      </c>
      <c r="B252" s="10">
        <v>45774</v>
      </c>
      <c r="C252" s="1">
        <v>17</v>
      </c>
      <c r="D252" s="1" t="s">
        <v>63</v>
      </c>
      <c r="E252" s="1" t="s">
        <v>67</v>
      </c>
      <c r="F252" s="1" t="s">
        <v>96</v>
      </c>
      <c r="G252" s="1" t="s">
        <v>60</v>
      </c>
      <c r="H252" s="1" t="s">
        <v>68</v>
      </c>
      <c r="I252" s="1" t="s">
        <v>120</v>
      </c>
      <c r="J252" s="24">
        <v>16.8</v>
      </c>
      <c r="K252" s="24">
        <v>40.97</v>
      </c>
      <c r="L252" s="28">
        <v>24.17</v>
      </c>
      <c r="M252" s="1">
        <v>13</v>
      </c>
      <c r="N252" s="28">
        <v>532.61</v>
      </c>
      <c r="O252" s="29">
        <v>0</v>
      </c>
      <c r="P252" s="28">
        <v>0</v>
      </c>
      <c r="Q252" s="28">
        <v>532.61</v>
      </c>
      <c r="R252" s="1" t="str">
        <f t="shared" si="18"/>
        <v>Apr</v>
      </c>
      <c r="S252" s="28">
        <f t="shared" si="22"/>
        <v>218.4</v>
      </c>
      <c r="T252" s="28">
        <f t="shared" si="23"/>
        <v>314.21000000000004</v>
      </c>
      <c r="U252" s="11">
        <f t="shared" si="19"/>
        <v>0.58994386136197219</v>
      </c>
      <c r="V252" s="1" t="str">
        <f t="shared" si="20"/>
        <v>Very Slow</v>
      </c>
      <c r="W252" s="1" t="str">
        <f t="shared" si="21"/>
        <v>OK</v>
      </c>
    </row>
    <row r="253" spans="1:23">
      <c r="A253" s="1">
        <v>56871</v>
      </c>
      <c r="B253" s="10">
        <v>45776</v>
      </c>
      <c r="C253" s="1">
        <v>20</v>
      </c>
      <c r="D253" s="1" t="s">
        <v>57</v>
      </c>
      <c r="E253" s="1" t="s">
        <v>87</v>
      </c>
      <c r="F253" s="1" t="s">
        <v>64</v>
      </c>
      <c r="G253" s="1" t="s">
        <v>81</v>
      </c>
      <c r="H253" s="1" t="s">
        <v>68</v>
      </c>
      <c r="I253" s="1" t="s">
        <v>139</v>
      </c>
      <c r="J253" s="24">
        <v>6.39</v>
      </c>
      <c r="K253" s="24">
        <v>19.98</v>
      </c>
      <c r="L253" s="28">
        <v>13.59</v>
      </c>
      <c r="M253" s="1">
        <v>32</v>
      </c>
      <c r="N253" s="28">
        <v>639.36</v>
      </c>
      <c r="O253" s="29">
        <v>0.05</v>
      </c>
      <c r="P253" s="28">
        <v>31.968</v>
      </c>
      <c r="Q253" s="28">
        <v>607.39200000000005</v>
      </c>
      <c r="R253" s="1" t="str">
        <f t="shared" si="18"/>
        <v>Apr</v>
      </c>
      <c r="S253" s="28">
        <f t="shared" si="22"/>
        <v>204.48</v>
      </c>
      <c r="T253" s="28">
        <f t="shared" si="23"/>
        <v>402.91200000000003</v>
      </c>
      <c r="U253" s="11">
        <f t="shared" si="19"/>
        <v>0.66334755808440016</v>
      </c>
      <c r="V253" s="1" t="str">
        <f t="shared" si="20"/>
        <v>Very Slow</v>
      </c>
      <c r="W253" s="1" t="str">
        <f t="shared" si="21"/>
        <v>OK</v>
      </c>
    </row>
    <row r="254" spans="1:23">
      <c r="A254" s="1">
        <v>56872</v>
      </c>
      <c r="B254" s="10">
        <v>45777</v>
      </c>
      <c r="C254" s="1">
        <v>17</v>
      </c>
      <c r="D254" s="1" t="s">
        <v>57</v>
      </c>
      <c r="E254" s="1" t="s">
        <v>72</v>
      </c>
      <c r="F254" s="1" t="s">
        <v>73</v>
      </c>
      <c r="G254" s="1" t="s">
        <v>60</v>
      </c>
      <c r="H254" s="1" t="s">
        <v>90</v>
      </c>
      <c r="I254" s="1" t="s">
        <v>201</v>
      </c>
      <c r="J254" s="24">
        <v>3.75</v>
      </c>
      <c r="K254" s="24">
        <v>7.08</v>
      </c>
      <c r="L254" s="28">
        <v>3.33</v>
      </c>
      <c r="M254" s="1">
        <v>10</v>
      </c>
      <c r="N254" s="28">
        <v>70.8</v>
      </c>
      <c r="O254" s="29">
        <v>0.1</v>
      </c>
      <c r="P254" s="28">
        <v>7.08</v>
      </c>
      <c r="Q254" s="28">
        <v>63.72</v>
      </c>
      <c r="R254" s="1" t="str">
        <f t="shared" si="18"/>
        <v>Apr</v>
      </c>
      <c r="S254" s="28">
        <f t="shared" si="22"/>
        <v>37.5</v>
      </c>
      <c r="T254" s="28">
        <f t="shared" si="23"/>
        <v>26.22</v>
      </c>
      <c r="U254" s="11">
        <f t="shared" si="19"/>
        <v>0.41148775894538603</v>
      </c>
      <c r="V254" s="1" t="str">
        <f t="shared" si="20"/>
        <v>Very Slow</v>
      </c>
      <c r="W254" s="1" t="str">
        <f t="shared" si="21"/>
        <v>OK</v>
      </c>
    </row>
    <row r="255" spans="1:23">
      <c r="A255" s="1">
        <v>56873</v>
      </c>
      <c r="B255" s="10">
        <v>45777</v>
      </c>
      <c r="C255" s="1">
        <v>16</v>
      </c>
      <c r="D255" s="1" t="s">
        <v>57</v>
      </c>
      <c r="E255" s="1" t="s">
        <v>87</v>
      </c>
      <c r="F255" s="1" t="s">
        <v>75</v>
      </c>
      <c r="G255" s="1" t="s">
        <v>60</v>
      </c>
      <c r="H255" s="1" t="s">
        <v>61</v>
      </c>
      <c r="I255" s="1" t="s">
        <v>101</v>
      </c>
      <c r="J255" s="24">
        <v>1.94</v>
      </c>
      <c r="K255" s="24">
        <v>3.08</v>
      </c>
      <c r="L255" s="28">
        <v>1.1399999999999999</v>
      </c>
      <c r="M255" s="1">
        <v>2</v>
      </c>
      <c r="N255" s="28">
        <v>6.16</v>
      </c>
      <c r="O255" s="29">
        <v>0.08</v>
      </c>
      <c r="P255" s="28">
        <v>0.49280000000000002</v>
      </c>
      <c r="Q255" s="28">
        <v>5.6672000000000002</v>
      </c>
      <c r="R255" s="1" t="str">
        <f t="shared" si="18"/>
        <v>Apr</v>
      </c>
      <c r="S255" s="28">
        <f t="shared" si="22"/>
        <v>3.88</v>
      </c>
      <c r="T255" s="28">
        <f t="shared" si="23"/>
        <v>1.7872000000000003</v>
      </c>
      <c r="U255" s="11">
        <f t="shared" si="19"/>
        <v>0.31535855448898931</v>
      </c>
      <c r="V255" s="1" t="str">
        <f t="shared" si="20"/>
        <v>Very Slow</v>
      </c>
      <c r="W255" s="1" t="str">
        <f t="shared" si="21"/>
        <v>OK</v>
      </c>
    </row>
    <row r="256" spans="1:23">
      <c r="A256" s="1">
        <v>56874</v>
      </c>
      <c r="B256" s="10">
        <v>45778</v>
      </c>
      <c r="C256" s="1">
        <v>21</v>
      </c>
      <c r="D256" s="1" t="s">
        <v>57</v>
      </c>
      <c r="E256" s="1" t="s">
        <v>72</v>
      </c>
      <c r="F256" s="1" t="s">
        <v>18</v>
      </c>
      <c r="G256" s="1" t="s">
        <v>60</v>
      </c>
      <c r="H256" s="1" t="s">
        <v>68</v>
      </c>
      <c r="I256" s="1" t="s">
        <v>122</v>
      </c>
      <c r="J256" s="24">
        <v>14.95</v>
      </c>
      <c r="K256" s="24">
        <v>34.76</v>
      </c>
      <c r="L256" s="28">
        <v>19.809999999999999</v>
      </c>
      <c r="M256" s="1">
        <v>27</v>
      </c>
      <c r="N256" s="28">
        <v>938.52</v>
      </c>
      <c r="O256" s="29">
        <v>0.1</v>
      </c>
      <c r="P256" s="28">
        <v>93.852000000000004</v>
      </c>
      <c r="Q256" s="28">
        <v>844.66800000000001</v>
      </c>
      <c r="R256" s="1" t="str">
        <f t="shared" si="18"/>
        <v>May</v>
      </c>
      <c r="S256" s="28">
        <f t="shared" si="22"/>
        <v>403.65</v>
      </c>
      <c r="T256" s="28">
        <f t="shared" si="23"/>
        <v>441.01800000000003</v>
      </c>
      <c r="U256" s="11">
        <f t="shared" si="19"/>
        <v>0.52211993351233865</v>
      </c>
      <c r="V256" s="1" t="str">
        <f t="shared" si="20"/>
        <v>Very Slow</v>
      </c>
      <c r="W256" s="1" t="str">
        <f t="shared" si="21"/>
        <v>OK</v>
      </c>
    </row>
    <row r="257" spans="1:23">
      <c r="A257" s="1">
        <v>56875</v>
      </c>
      <c r="B257" s="10">
        <v>45778</v>
      </c>
      <c r="C257" s="1">
        <v>7</v>
      </c>
      <c r="D257" s="1" t="s">
        <v>57</v>
      </c>
      <c r="E257" s="1" t="s">
        <v>87</v>
      </c>
      <c r="F257" s="1" t="s">
        <v>75</v>
      </c>
      <c r="G257" s="1" t="s">
        <v>60</v>
      </c>
      <c r="H257" s="1" t="s">
        <v>65</v>
      </c>
      <c r="I257" s="1" t="s">
        <v>101</v>
      </c>
      <c r="J257" s="24">
        <v>1.94</v>
      </c>
      <c r="K257" s="24">
        <v>3.08</v>
      </c>
      <c r="L257" s="28">
        <v>1.1399999999999999</v>
      </c>
      <c r="M257" s="1">
        <v>4</v>
      </c>
      <c r="N257" s="28">
        <v>12.32</v>
      </c>
      <c r="O257" s="29">
        <v>0.03</v>
      </c>
      <c r="P257" s="28">
        <v>0.36959999999999998</v>
      </c>
      <c r="Q257" s="28">
        <v>11.9504</v>
      </c>
      <c r="R257" s="1" t="str">
        <f t="shared" si="18"/>
        <v>May</v>
      </c>
      <c r="S257" s="28">
        <f t="shared" si="22"/>
        <v>7.76</v>
      </c>
      <c r="T257" s="28">
        <f t="shared" si="23"/>
        <v>4.1904000000000003</v>
      </c>
      <c r="U257" s="11">
        <f t="shared" si="19"/>
        <v>0.35064935064935066</v>
      </c>
      <c r="V257" s="1" t="str">
        <f t="shared" si="20"/>
        <v>Standard</v>
      </c>
      <c r="W257" s="1" t="str">
        <f t="shared" si="21"/>
        <v>OK</v>
      </c>
    </row>
    <row r="258" spans="1:23">
      <c r="A258" s="1">
        <v>56876</v>
      </c>
      <c r="B258" s="10">
        <v>45778</v>
      </c>
      <c r="C258" s="1">
        <v>9</v>
      </c>
      <c r="D258" s="1" t="s">
        <v>63</v>
      </c>
      <c r="E258" s="1" t="s">
        <v>72</v>
      </c>
      <c r="F258" s="1" t="s">
        <v>96</v>
      </c>
      <c r="G258" s="1" t="s">
        <v>60</v>
      </c>
      <c r="H258" s="1" t="s">
        <v>68</v>
      </c>
      <c r="I258" s="1" t="s">
        <v>202</v>
      </c>
      <c r="J258" s="24">
        <v>52.04</v>
      </c>
      <c r="K258" s="24">
        <v>83.93</v>
      </c>
      <c r="L258" s="28">
        <v>31.890000000000011</v>
      </c>
      <c r="M258" s="1">
        <v>60</v>
      </c>
      <c r="N258" s="28">
        <v>5035.8</v>
      </c>
      <c r="O258" s="29">
        <v>0.1</v>
      </c>
      <c r="P258" s="28">
        <v>503.58</v>
      </c>
      <c r="Q258" s="28">
        <v>4532.22</v>
      </c>
      <c r="R258" s="1" t="str">
        <f t="shared" si="18"/>
        <v>May</v>
      </c>
      <c r="S258" s="28">
        <f t="shared" si="22"/>
        <v>3122.4</v>
      </c>
      <c r="T258" s="28">
        <f t="shared" si="23"/>
        <v>1409.8200000000002</v>
      </c>
      <c r="U258" s="11">
        <f t="shared" si="19"/>
        <v>0.31106610005692575</v>
      </c>
      <c r="V258" s="1" t="str">
        <f t="shared" si="20"/>
        <v>Slow</v>
      </c>
      <c r="W258" s="1" t="str">
        <f t="shared" si="21"/>
        <v>OK</v>
      </c>
    </row>
    <row r="259" spans="1:23">
      <c r="A259" s="1">
        <v>56877</v>
      </c>
      <c r="B259" s="10">
        <v>45779</v>
      </c>
      <c r="C259" s="1">
        <v>6</v>
      </c>
      <c r="D259" s="1" t="s">
        <v>78</v>
      </c>
      <c r="E259" s="1" t="s">
        <v>58</v>
      </c>
      <c r="F259" s="1" t="s">
        <v>73</v>
      </c>
      <c r="G259" s="1" t="s">
        <v>60</v>
      </c>
      <c r="H259" s="1" t="s">
        <v>68</v>
      </c>
      <c r="I259" s="1" t="s">
        <v>66</v>
      </c>
      <c r="J259" s="24">
        <v>0.94</v>
      </c>
      <c r="K259" s="24">
        <v>1.88</v>
      </c>
      <c r="L259" s="28">
        <v>0.94</v>
      </c>
      <c r="M259" s="1">
        <v>42</v>
      </c>
      <c r="N259" s="28">
        <v>78.959999999999994</v>
      </c>
      <c r="O259" s="29">
        <v>0.04</v>
      </c>
      <c r="P259" s="28">
        <v>3.1583999999999999</v>
      </c>
      <c r="Q259" s="28">
        <v>75.801599999999993</v>
      </c>
      <c r="R259" s="1" t="str">
        <f t="shared" si="18"/>
        <v>May</v>
      </c>
      <c r="S259" s="28">
        <f t="shared" si="22"/>
        <v>39.479999999999997</v>
      </c>
      <c r="T259" s="28">
        <f t="shared" si="23"/>
        <v>36.321599999999997</v>
      </c>
      <c r="U259" s="11">
        <f t="shared" si="19"/>
        <v>0.47916666666666669</v>
      </c>
      <c r="V259" s="1" t="str">
        <f t="shared" si="20"/>
        <v>Standard</v>
      </c>
      <c r="W259" s="1" t="str">
        <f t="shared" si="21"/>
        <v>OK</v>
      </c>
    </row>
    <row r="260" spans="1:23">
      <c r="A260" s="1">
        <v>56878</v>
      </c>
      <c r="B260" s="10">
        <v>45779</v>
      </c>
      <c r="C260" s="1">
        <v>6</v>
      </c>
      <c r="D260" s="1" t="s">
        <v>57</v>
      </c>
      <c r="E260" s="1" t="s">
        <v>87</v>
      </c>
      <c r="F260" s="1" t="s">
        <v>75</v>
      </c>
      <c r="G260" s="1" t="s">
        <v>60</v>
      </c>
      <c r="H260" s="1" t="s">
        <v>70</v>
      </c>
      <c r="I260" s="1" t="s">
        <v>129</v>
      </c>
      <c r="J260" s="24">
        <v>0.93</v>
      </c>
      <c r="K260" s="24">
        <v>1.6</v>
      </c>
      <c r="L260" s="28">
        <v>0.67</v>
      </c>
      <c r="M260" s="1">
        <v>44</v>
      </c>
      <c r="N260" s="28">
        <v>70.400000000000006</v>
      </c>
      <c r="O260" s="29">
        <v>0.01</v>
      </c>
      <c r="P260" s="28">
        <v>0.70400000000000007</v>
      </c>
      <c r="Q260" s="28">
        <v>69.696000000000012</v>
      </c>
      <c r="R260" s="1" t="str">
        <f t="shared" si="18"/>
        <v>May</v>
      </c>
      <c r="S260" s="28">
        <f t="shared" si="22"/>
        <v>40.92</v>
      </c>
      <c r="T260" s="28">
        <f t="shared" si="23"/>
        <v>28.77600000000001</v>
      </c>
      <c r="U260" s="11">
        <f t="shared" si="19"/>
        <v>0.41287878787878796</v>
      </c>
      <c r="V260" s="1" t="str">
        <f t="shared" si="20"/>
        <v>Standard</v>
      </c>
      <c r="W260" s="1" t="str">
        <f t="shared" si="21"/>
        <v>OK</v>
      </c>
    </row>
    <row r="261" spans="1:23">
      <c r="A261" s="1">
        <v>56879</v>
      </c>
      <c r="B261" s="10">
        <v>45779</v>
      </c>
      <c r="C261" s="1">
        <v>22</v>
      </c>
      <c r="D261" s="1" t="s">
        <v>57</v>
      </c>
      <c r="E261" s="1" t="s">
        <v>67</v>
      </c>
      <c r="F261" s="1" t="s">
        <v>79</v>
      </c>
      <c r="G261" s="1" t="s">
        <v>81</v>
      </c>
      <c r="H261" s="1" t="s">
        <v>90</v>
      </c>
      <c r="I261" s="1" t="s">
        <v>156</v>
      </c>
      <c r="J261" s="24">
        <v>60.59</v>
      </c>
      <c r="K261" s="24">
        <v>100.98</v>
      </c>
      <c r="L261" s="28">
        <v>40.39</v>
      </c>
      <c r="M261" s="1">
        <v>5</v>
      </c>
      <c r="N261" s="28">
        <v>504.9</v>
      </c>
      <c r="O261" s="29">
        <v>0.02</v>
      </c>
      <c r="P261" s="28">
        <v>10.098000000000001</v>
      </c>
      <c r="Q261" s="28">
        <v>494.80200000000002</v>
      </c>
      <c r="R261" s="1" t="str">
        <f t="shared" ref="R261:R324" si="24">TEXT(B261,"mmm")</f>
        <v>May</v>
      </c>
      <c r="S261" s="28">
        <f t="shared" si="22"/>
        <v>302.95000000000005</v>
      </c>
      <c r="T261" s="28">
        <f t="shared" si="23"/>
        <v>191.85199999999998</v>
      </c>
      <c r="U261" s="11">
        <f t="shared" ref="U261:U324" si="25">IF(Q261=0,0,T261/Q261)</f>
        <v>0.38773489193657257</v>
      </c>
      <c r="V261" s="1" t="str">
        <f t="shared" ref="V261:V324" si="26">IF(C261&lt;=3,"Fast",IF(C261&lt;=7,"Standard",IF(C261&lt;=14,"Slow","Very Slow")))</f>
        <v>Very Slow</v>
      </c>
      <c r="W261" s="1" t="str">
        <f t="shared" ref="W261:W324" si="27">IF(OR(H261="Not Specifiedd",P261&lt;0),"Review","OK")</f>
        <v>OK</v>
      </c>
    </row>
    <row r="262" spans="1:23">
      <c r="A262" s="1">
        <v>56880</v>
      </c>
      <c r="B262" s="10">
        <v>45780</v>
      </c>
      <c r="C262" s="1">
        <v>5</v>
      </c>
      <c r="D262" s="1" t="s">
        <v>63</v>
      </c>
      <c r="E262" s="1" t="s">
        <v>72</v>
      </c>
      <c r="F262" s="1" t="s">
        <v>59</v>
      </c>
      <c r="G262" s="1" t="s">
        <v>60</v>
      </c>
      <c r="H262" s="1" t="s">
        <v>70</v>
      </c>
      <c r="I262" s="1" t="s">
        <v>201</v>
      </c>
      <c r="J262" s="24">
        <v>3.75</v>
      </c>
      <c r="K262" s="24">
        <v>7.08</v>
      </c>
      <c r="L262" s="28">
        <v>3.33</v>
      </c>
      <c r="M262" s="1">
        <v>30</v>
      </c>
      <c r="N262" s="28">
        <v>212.4</v>
      </c>
      <c r="O262" s="29">
        <v>0.03</v>
      </c>
      <c r="P262" s="28">
        <v>6.3719999999999999</v>
      </c>
      <c r="Q262" s="28">
        <v>206.02799999999999</v>
      </c>
      <c r="R262" s="1" t="str">
        <f t="shared" si="24"/>
        <v>May</v>
      </c>
      <c r="S262" s="28">
        <f t="shared" ref="S262:S325" si="28">J262*M262</f>
        <v>112.5</v>
      </c>
      <c r="T262" s="28">
        <f t="shared" ref="T262:T325" si="29">Q262-S262</f>
        <v>93.527999999999992</v>
      </c>
      <c r="U262" s="11">
        <f t="shared" si="25"/>
        <v>0.45395771448540972</v>
      </c>
      <c r="V262" s="1" t="str">
        <f t="shared" si="26"/>
        <v>Standard</v>
      </c>
      <c r="W262" s="1" t="str">
        <f t="shared" si="27"/>
        <v>OK</v>
      </c>
    </row>
    <row r="263" spans="1:23">
      <c r="A263" s="1">
        <v>56881</v>
      </c>
      <c r="B263" s="10">
        <v>45781</v>
      </c>
      <c r="C263" s="1">
        <v>15</v>
      </c>
      <c r="D263" s="1" t="s">
        <v>63</v>
      </c>
      <c r="E263" s="1" t="s">
        <v>87</v>
      </c>
      <c r="F263" s="1" t="s">
        <v>75</v>
      </c>
      <c r="G263" s="1" t="s">
        <v>60</v>
      </c>
      <c r="H263" s="1" t="s">
        <v>70</v>
      </c>
      <c r="I263" s="1" t="s">
        <v>77</v>
      </c>
      <c r="J263" s="24">
        <v>12.39</v>
      </c>
      <c r="K263" s="24">
        <v>19.98</v>
      </c>
      <c r="L263" s="28">
        <v>7.59</v>
      </c>
      <c r="M263" s="1">
        <v>44</v>
      </c>
      <c r="N263" s="28">
        <v>879.12</v>
      </c>
      <c r="O263" s="29">
        <v>0</v>
      </c>
      <c r="P263" s="28">
        <v>0</v>
      </c>
      <c r="Q263" s="28">
        <v>879.12</v>
      </c>
      <c r="R263" s="1" t="str">
        <f t="shared" si="24"/>
        <v>May</v>
      </c>
      <c r="S263" s="28">
        <f t="shared" si="28"/>
        <v>545.16000000000008</v>
      </c>
      <c r="T263" s="28">
        <f t="shared" si="29"/>
        <v>333.95999999999992</v>
      </c>
      <c r="U263" s="11">
        <f t="shared" si="25"/>
        <v>0.37987987987987981</v>
      </c>
      <c r="V263" s="1" t="str">
        <f t="shared" si="26"/>
        <v>Very Slow</v>
      </c>
      <c r="W263" s="1" t="str">
        <f t="shared" si="27"/>
        <v>OK</v>
      </c>
    </row>
    <row r="264" spans="1:23">
      <c r="A264" s="1">
        <v>56882</v>
      </c>
      <c r="B264" s="10">
        <v>45781</v>
      </c>
      <c r="C264" s="1">
        <v>18</v>
      </c>
      <c r="D264" s="1" t="s">
        <v>78</v>
      </c>
      <c r="E264" s="1" t="s">
        <v>58</v>
      </c>
      <c r="F264" s="1" t="s">
        <v>108</v>
      </c>
      <c r="G264" s="1" t="s">
        <v>60</v>
      </c>
      <c r="H264" s="1" t="s">
        <v>90</v>
      </c>
      <c r="I264" s="1" t="s">
        <v>141</v>
      </c>
      <c r="J264" s="24">
        <v>2.1800000000000002</v>
      </c>
      <c r="K264" s="24">
        <v>3.52</v>
      </c>
      <c r="L264" s="28">
        <v>1.34</v>
      </c>
      <c r="M264" s="1">
        <v>40</v>
      </c>
      <c r="N264" s="28">
        <v>140.80000000000001</v>
      </c>
      <c r="O264" s="29">
        <v>0.08</v>
      </c>
      <c r="P264" s="28">
        <v>11.263999999999999</v>
      </c>
      <c r="Q264" s="28">
        <v>129.536</v>
      </c>
      <c r="R264" s="1" t="str">
        <f t="shared" si="24"/>
        <v>May</v>
      </c>
      <c r="S264" s="28">
        <f t="shared" si="28"/>
        <v>87.2</v>
      </c>
      <c r="T264" s="28">
        <f t="shared" si="29"/>
        <v>42.335999999999999</v>
      </c>
      <c r="U264" s="11">
        <f t="shared" si="25"/>
        <v>0.32682806324110669</v>
      </c>
      <c r="V264" s="1" t="str">
        <f t="shared" si="26"/>
        <v>Very Slow</v>
      </c>
      <c r="W264" s="1" t="str">
        <f t="shared" si="27"/>
        <v>OK</v>
      </c>
    </row>
    <row r="265" spans="1:23">
      <c r="A265" s="1">
        <v>56883</v>
      </c>
      <c r="B265" s="10">
        <v>45782</v>
      </c>
      <c r="C265" s="1">
        <v>10</v>
      </c>
      <c r="D265" s="1" t="s">
        <v>57</v>
      </c>
      <c r="E265" s="1" t="s">
        <v>72</v>
      </c>
      <c r="F265" s="1" t="s">
        <v>79</v>
      </c>
      <c r="G265" s="1" t="s">
        <v>81</v>
      </c>
      <c r="H265" s="1" t="s">
        <v>61</v>
      </c>
      <c r="I265" s="1" t="s">
        <v>172</v>
      </c>
      <c r="J265" s="24">
        <v>315.61</v>
      </c>
      <c r="K265" s="24">
        <v>500.97</v>
      </c>
      <c r="L265" s="28">
        <v>185.36</v>
      </c>
      <c r="M265" s="1">
        <v>4</v>
      </c>
      <c r="N265" s="28">
        <v>2003.88</v>
      </c>
      <c r="O265" s="29">
        <v>0.06</v>
      </c>
      <c r="P265" s="28">
        <v>120.2328</v>
      </c>
      <c r="Q265" s="28">
        <v>1883.6472000000001</v>
      </c>
      <c r="R265" s="1" t="str">
        <f t="shared" si="24"/>
        <v>May</v>
      </c>
      <c r="S265" s="28">
        <f t="shared" si="28"/>
        <v>1262.44</v>
      </c>
      <c r="T265" s="28">
        <f t="shared" si="29"/>
        <v>621.20720000000006</v>
      </c>
      <c r="U265" s="11">
        <f t="shared" si="25"/>
        <v>0.32978956993645098</v>
      </c>
      <c r="V265" s="1" t="str">
        <f t="shared" si="26"/>
        <v>Slow</v>
      </c>
      <c r="W265" s="1" t="str">
        <f t="shared" si="27"/>
        <v>OK</v>
      </c>
    </row>
    <row r="266" spans="1:23">
      <c r="A266" s="1">
        <v>56884</v>
      </c>
      <c r="B266" s="10">
        <v>45782</v>
      </c>
      <c r="C266" s="1">
        <v>9</v>
      </c>
      <c r="D266" s="1" t="s">
        <v>63</v>
      </c>
      <c r="E266" s="1" t="s">
        <v>58</v>
      </c>
      <c r="F266" s="1" t="s">
        <v>59</v>
      </c>
      <c r="G266" s="1" t="s">
        <v>60</v>
      </c>
      <c r="H266" s="1" t="s">
        <v>90</v>
      </c>
      <c r="I266" s="1" t="s">
        <v>122</v>
      </c>
      <c r="J266" s="24">
        <v>14.95</v>
      </c>
      <c r="K266" s="24">
        <v>34.76</v>
      </c>
      <c r="L266" s="28">
        <v>19.809999999999999</v>
      </c>
      <c r="M266" s="1">
        <v>44</v>
      </c>
      <c r="N266" s="28">
        <v>1529.44</v>
      </c>
      <c r="O266" s="29">
        <v>0</v>
      </c>
      <c r="P266" s="28">
        <v>0</v>
      </c>
      <c r="Q266" s="28">
        <v>1529.44</v>
      </c>
      <c r="R266" s="1" t="str">
        <f t="shared" si="24"/>
        <v>May</v>
      </c>
      <c r="S266" s="28">
        <f t="shared" si="28"/>
        <v>657.8</v>
      </c>
      <c r="T266" s="28">
        <f t="shared" si="29"/>
        <v>871.6400000000001</v>
      </c>
      <c r="U266" s="11">
        <f t="shared" si="25"/>
        <v>0.5699079401611048</v>
      </c>
      <c r="V266" s="1" t="str">
        <f t="shared" si="26"/>
        <v>Slow</v>
      </c>
      <c r="W266" s="1" t="str">
        <f t="shared" si="27"/>
        <v>OK</v>
      </c>
    </row>
    <row r="267" spans="1:23">
      <c r="A267" s="1">
        <v>56885</v>
      </c>
      <c r="B267" s="10">
        <v>45782</v>
      </c>
      <c r="C267" s="1">
        <v>7</v>
      </c>
      <c r="D267" s="1" t="s">
        <v>57</v>
      </c>
      <c r="E267" s="1" t="s">
        <v>87</v>
      </c>
      <c r="F267" s="1" t="s">
        <v>84</v>
      </c>
      <c r="G267" s="1" t="s">
        <v>60</v>
      </c>
      <c r="H267" s="1" t="s">
        <v>65</v>
      </c>
      <c r="I267" s="1" t="s">
        <v>112</v>
      </c>
      <c r="J267" s="24">
        <v>3.5</v>
      </c>
      <c r="K267" s="24">
        <v>5.74</v>
      </c>
      <c r="L267" s="28">
        <v>2.2400000000000002</v>
      </c>
      <c r="M267" s="1">
        <v>48</v>
      </c>
      <c r="N267" s="28">
        <v>275.52</v>
      </c>
      <c r="O267" s="29">
        <v>0</v>
      </c>
      <c r="P267" s="28">
        <v>0</v>
      </c>
      <c r="Q267" s="28">
        <v>275.52</v>
      </c>
      <c r="R267" s="1" t="str">
        <f t="shared" si="24"/>
        <v>May</v>
      </c>
      <c r="S267" s="28">
        <f t="shared" si="28"/>
        <v>168</v>
      </c>
      <c r="T267" s="28">
        <f t="shared" si="29"/>
        <v>107.51999999999998</v>
      </c>
      <c r="U267" s="11">
        <f t="shared" si="25"/>
        <v>0.39024390243902435</v>
      </c>
      <c r="V267" s="1" t="str">
        <f t="shared" si="26"/>
        <v>Standard</v>
      </c>
      <c r="W267" s="1" t="str">
        <f t="shared" si="27"/>
        <v>OK</v>
      </c>
    </row>
    <row r="268" spans="1:23">
      <c r="A268" s="1">
        <v>56886</v>
      </c>
      <c r="B268" s="10">
        <v>45783</v>
      </c>
      <c r="C268" s="1">
        <v>14</v>
      </c>
      <c r="D268" s="1" t="s">
        <v>63</v>
      </c>
      <c r="E268" s="1" t="s">
        <v>58</v>
      </c>
      <c r="F268" s="1" t="s">
        <v>75</v>
      </c>
      <c r="G268" s="1" t="s">
        <v>60</v>
      </c>
      <c r="H268" s="1" t="s">
        <v>65</v>
      </c>
      <c r="I268" s="1" t="s">
        <v>184</v>
      </c>
      <c r="J268" s="24">
        <v>21.56</v>
      </c>
      <c r="K268" s="24">
        <v>36.549999999999997</v>
      </c>
      <c r="L268" s="28">
        <v>14.99</v>
      </c>
      <c r="M268" s="1">
        <v>3</v>
      </c>
      <c r="N268" s="28">
        <v>109.65</v>
      </c>
      <c r="O268" s="29">
        <v>0.03</v>
      </c>
      <c r="P268" s="28">
        <v>3.289499999999999</v>
      </c>
      <c r="Q268" s="28">
        <v>106.3605</v>
      </c>
      <c r="R268" s="1" t="str">
        <f t="shared" si="24"/>
        <v>May</v>
      </c>
      <c r="S268" s="28">
        <f t="shared" si="28"/>
        <v>64.679999999999993</v>
      </c>
      <c r="T268" s="28">
        <f t="shared" si="29"/>
        <v>41.680500000000009</v>
      </c>
      <c r="U268" s="11">
        <f t="shared" si="25"/>
        <v>0.39187950413922468</v>
      </c>
      <c r="V268" s="1" t="str">
        <f t="shared" si="26"/>
        <v>Slow</v>
      </c>
      <c r="W268" s="1" t="str">
        <f t="shared" si="27"/>
        <v>OK</v>
      </c>
    </row>
    <row r="269" spans="1:23">
      <c r="A269" s="1">
        <v>56887</v>
      </c>
      <c r="B269" s="10">
        <v>45783</v>
      </c>
      <c r="C269" s="1">
        <v>14</v>
      </c>
      <c r="D269" s="1" t="s">
        <v>57</v>
      </c>
      <c r="E269" s="1" t="s">
        <v>87</v>
      </c>
      <c r="F269" s="1" t="s">
        <v>59</v>
      </c>
      <c r="G269" s="1" t="s">
        <v>60</v>
      </c>
      <c r="H269" s="1" t="s">
        <v>68</v>
      </c>
      <c r="I269" s="1" t="s">
        <v>77</v>
      </c>
      <c r="J269" s="24">
        <v>12.39</v>
      </c>
      <c r="K269" s="24">
        <v>19.98</v>
      </c>
      <c r="L269" s="28">
        <v>7.59</v>
      </c>
      <c r="M269" s="1">
        <v>27</v>
      </c>
      <c r="N269" s="28">
        <v>539.46</v>
      </c>
      <c r="O269" s="29">
        <v>0.05</v>
      </c>
      <c r="P269" s="28">
        <v>26.972999999999999</v>
      </c>
      <c r="Q269" s="28">
        <v>512.48700000000008</v>
      </c>
      <c r="R269" s="1" t="str">
        <f t="shared" si="24"/>
        <v>May</v>
      </c>
      <c r="S269" s="28">
        <f t="shared" si="28"/>
        <v>334.53000000000003</v>
      </c>
      <c r="T269" s="28">
        <f t="shared" si="29"/>
        <v>177.95700000000005</v>
      </c>
      <c r="U269" s="11">
        <f t="shared" si="25"/>
        <v>0.34724197882092622</v>
      </c>
      <c r="V269" s="1" t="str">
        <f t="shared" si="26"/>
        <v>Slow</v>
      </c>
      <c r="W269" s="1" t="str">
        <f t="shared" si="27"/>
        <v>OK</v>
      </c>
    </row>
    <row r="270" spans="1:23">
      <c r="A270" s="1">
        <v>56888</v>
      </c>
      <c r="B270" s="10">
        <v>45784</v>
      </c>
      <c r="C270" s="1">
        <v>20</v>
      </c>
      <c r="D270" s="1" t="s">
        <v>57</v>
      </c>
      <c r="E270" s="1" t="s">
        <v>72</v>
      </c>
      <c r="F270" s="1" t="s">
        <v>108</v>
      </c>
      <c r="G270" s="1" t="s">
        <v>60</v>
      </c>
      <c r="H270" s="1" t="s">
        <v>65</v>
      </c>
      <c r="I270" s="1" t="s">
        <v>131</v>
      </c>
      <c r="J270" s="24">
        <v>0.24</v>
      </c>
      <c r="K270" s="24">
        <v>1.26</v>
      </c>
      <c r="L270" s="28">
        <v>1.02</v>
      </c>
      <c r="M270" s="1">
        <v>47</v>
      </c>
      <c r="N270" s="28">
        <v>59.22</v>
      </c>
      <c r="O270" s="29">
        <v>7.0000000000000007E-2</v>
      </c>
      <c r="P270" s="28">
        <v>4.1454000000000004</v>
      </c>
      <c r="Q270" s="28">
        <v>55.074599999999997</v>
      </c>
      <c r="R270" s="1" t="str">
        <f t="shared" si="24"/>
        <v>May</v>
      </c>
      <c r="S270" s="28">
        <f t="shared" si="28"/>
        <v>11.28</v>
      </c>
      <c r="T270" s="28">
        <f t="shared" si="29"/>
        <v>43.794599999999996</v>
      </c>
      <c r="U270" s="11">
        <f t="shared" si="25"/>
        <v>0.7951868919610855</v>
      </c>
      <c r="V270" s="1" t="str">
        <f t="shared" si="26"/>
        <v>Very Slow</v>
      </c>
      <c r="W270" s="1" t="str">
        <f t="shared" si="27"/>
        <v>OK</v>
      </c>
    </row>
    <row r="271" spans="1:23">
      <c r="A271" s="1">
        <v>56889</v>
      </c>
      <c r="B271" s="10">
        <v>45784</v>
      </c>
      <c r="C271" s="1">
        <v>13</v>
      </c>
      <c r="D271" s="1" t="s">
        <v>57</v>
      </c>
      <c r="E271" s="1" t="s">
        <v>87</v>
      </c>
      <c r="F271" s="1" t="s">
        <v>64</v>
      </c>
      <c r="G271" s="1" t="s">
        <v>81</v>
      </c>
      <c r="H271" s="1" t="s">
        <v>68</v>
      </c>
      <c r="I271" s="1" t="s">
        <v>132</v>
      </c>
      <c r="J271" s="24">
        <v>1.87</v>
      </c>
      <c r="K271" s="24">
        <v>8.1199999999999992</v>
      </c>
      <c r="L271" s="28">
        <v>6.2499999999999991</v>
      </c>
      <c r="M271" s="1">
        <v>36</v>
      </c>
      <c r="N271" s="28">
        <v>292.32</v>
      </c>
      <c r="O271" s="29">
        <v>0.01</v>
      </c>
      <c r="P271" s="28">
        <v>2.9232</v>
      </c>
      <c r="Q271" s="28">
        <v>289.39679999999998</v>
      </c>
      <c r="R271" s="1" t="str">
        <f t="shared" si="24"/>
        <v>May</v>
      </c>
      <c r="S271" s="28">
        <f t="shared" si="28"/>
        <v>67.320000000000007</v>
      </c>
      <c r="T271" s="28">
        <f t="shared" si="29"/>
        <v>222.07679999999999</v>
      </c>
      <c r="U271" s="11">
        <f t="shared" si="25"/>
        <v>0.76737821565407771</v>
      </c>
      <c r="V271" s="1" t="str">
        <f t="shared" si="26"/>
        <v>Slow</v>
      </c>
      <c r="W271" s="1" t="str">
        <f t="shared" si="27"/>
        <v>OK</v>
      </c>
    </row>
    <row r="272" spans="1:23">
      <c r="A272" s="1">
        <v>56890</v>
      </c>
      <c r="B272" s="10">
        <v>45784</v>
      </c>
      <c r="C272" s="1">
        <v>3</v>
      </c>
      <c r="D272" s="1" t="s">
        <v>57</v>
      </c>
      <c r="E272" s="1" t="s">
        <v>67</v>
      </c>
      <c r="F272" s="1" t="s">
        <v>18</v>
      </c>
      <c r="G272" s="1" t="s">
        <v>60</v>
      </c>
      <c r="H272" s="1" t="s">
        <v>65</v>
      </c>
      <c r="I272" s="1" t="s">
        <v>161</v>
      </c>
      <c r="J272" s="24">
        <v>2.87</v>
      </c>
      <c r="K272" s="24">
        <v>6.84</v>
      </c>
      <c r="L272" s="28">
        <v>3.97</v>
      </c>
      <c r="M272" s="1">
        <v>37</v>
      </c>
      <c r="N272" s="28">
        <v>253.08</v>
      </c>
      <c r="O272" s="29">
        <v>0.02</v>
      </c>
      <c r="P272" s="28">
        <v>5.0615999999999994</v>
      </c>
      <c r="Q272" s="28">
        <v>248.01840000000001</v>
      </c>
      <c r="R272" s="1" t="str">
        <f t="shared" si="24"/>
        <v>May</v>
      </c>
      <c r="S272" s="28">
        <f t="shared" si="28"/>
        <v>106.19</v>
      </c>
      <c r="T272" s="28">
        <f t="shared" si="29"/>
        <v>141.82840000000002</v>
      </c>
      <c r="U272" s="11">
        <f t="shared" si="25"/>
        <v>0.57184628237259816</v>
      </c>
      <c r="V272" s="1" t="str">
        <f t="shared" si="26"/>
        <v>Fast</v>
      </c>
      <c r="W272" s="1" t="str">
        <f t="shared" si="27"/>
        <v>OK</v>
      </c>
    </row>
    <row r="273" spans="1:23">
      <c r="A273" s="1">
        <v>56891</v>
      </c>
      <c r="B273" s="10">
        <v>45784</v>
      </c>
      <c r="C273" s="1">
        <v>14</v>
      </c>
      <c r="D273" s="1" t="s">
        <v>78</v>
      </c>
      <c r="E273" s="1" t="s">
        <v>67</v>
      </c>
      <c r="F273" s="1" t="s">
        <v>98</v>
      </c>
      <c r="G273" s="1" t="s">
        <v>60</v>
      </c>
      <c r="H273" s="1" t="s">
        <v>65</v>
      </c>
      <c r="I273" s="1" t="s">
        <v>126</v>
      </c>
      <c r="J273" s="24">
        <v>1.0900000000000001</v>
      </c>
      <c r="K273" s="24">
        <v>2.6</v>
      </c>
      <c r="L273" s="28">
        <v>1.51</v>
      </c>
      <c r="M273" s="1">
        <v>52</v>
      </c>
      <c r="N273" s="28">
        <v>135.19999999999999</v>
      </c>
      <c r="O273" s="29">
        <v>0.01</v>
      </c>
      <c r="P273" s="28">
        <v>1.3520000000000001</v>
      </c>
      <c r="Q273" s="28">
        <v>133.84800000000001</v>
      </c>
      <c r="R273" s="1" t="str">
        <f t="shared" si="24"/>
        <v>May</v>
      </c>
      <c r="S273" s="28">
        <f t="shared" si="28"/>
        <v>56.680000000000007</v>
      </c>
      <c r="T273" s="28">
        <f t="shared" si="29"/>
        <v>77.168000000000006</v>
      </c>
      <c r="U273" s="11">
        <f t="shared" si="25"/>
        <v>0.57653457653457651</v>
      </c>
      <c r="V273" s="1" t="str">
        <f t="shared" si="26"/>
        <v>Slow</v>
      </c>
      <c r="W273" s="1" t="str">
        <f t="shared" si="27"/>
        <v>OK</v>
      </c>
    </row>
    <row r="274" spans="1:23">
      <c r="A274" s="1">
        <v>56892</v>
      </c>
      <c r="B274" s="10">
        <v>45784</v>
      </c>
      <c r="C274" s="1">
        <v>22</v>
      </c>
      <c r="D274" s="1" t="s">
        <v>57</v>
      </c>
      <c r="E274" s="1" t="s">
        <v>87</v>
      </c>
      <c r="F274" s="1" t="s">
        <v>84</v>
      </c>
      <c r="G274" s="1" t="s">
        <v>60</v>
      </c>
      <c r="H274" s="1" t="s">
        <v>61</v>
      </c>
      <c r="I274" s="1" t="s">
        <v>109</v>
      </c>
      <c r="J274" s="24">
        <v>8.92</v>
      </c>
      <c r="K274" s="24">
        <v>29.74</v>
      </c>
      <c r="L274" s="28">
        <v>20.82</v>
      </c>
      <c r="M274" s="1">
        <v>20</v>
      </c>
      <c r="N274" s="28">
        <v>594.79999999999995</v>
      </c>
      <c r="O274" s="29">
        <v>0</v>
      </c>
      <c r="P274" s="28">
        <v>0</v>
      </c>
      <c r="Q274" s="28">
        <v>594.79999999999995</v>
      </c>
      <c r="R274" s="1" t="str">
        <f t="shared" si="24"/>
        <v>May</v>
      </c>
      <c r="S274" s="28">
        <f t="shared" si="28"/>
        <v>178.4</v>
      </c>
      <c r="T274" s="28">
        <f t="shared" si="29"/>
        <v>416.4</v>
      </c>
      <c r="U274" s="11">
        <f t="shared" si="25"/>
        <v>0.70006724949562882</v>
      </c>
      <c r="V274" s="1" t="str">
        <f t="shared" si="26"/>
        <v>Very Slow</v>
      </c>
      <c r="W274" s="1" t="str">
        <f t="shared" si="27"/>
        <v>OK</v>
      </c>
    </row>
    <row r="275" spans="1:23">
      <c r="A275" s="1">
        <v>56893</v>
      </c>
      <c r="B275" s="10">
        <v>45784</v>
      </c>
      <c r="C275" s="1">
        <v>4</v>
      </c>
      <c r="D275" s="1" t="s">
        <v>57</v>
      </c>
      <c r="E275" s="1" t="s">
        <v>87</v>
      </c>
      <c r="F275" s="1" t="s">
        <v>64</v>
      </c>
      <c r="G275" s="1" t="s">
        <v>60</v>
      </c>
      <c r="H275" s="1" t="s">
        <v>61</v>
      </c>
      <c r="I275" s="1" t="s">
        <v>195</v>
      </c>
      <c r="J275" s="24">
        <v>21.97</v>
      </c>
      <c r="K275" s="24">
        <v>35.44</v>
      </c>
      <c r="L275" s="28">
        <v>13.47</v>
      </c>
      <c r="M275" s="1">
        <v>18</v>
      </c>
      <c r="N275" s="28">
        <v>637.91999999999996</v>
      </c>
      <c r="O275" s="29">
        <v>0</v>
      </c>
      <c r="P275" s="28">
        <v>0</v>
      </c>
      <c r="Q275" s="28">
        <v>637.91999999999996</v>
      </c>
      <c r="R275" s="1" t="str">
        <f t="shared" si="24"/>
        <v>May</v>
      </c>
      <c r="S275" s="28">
        <f t="shared" si="28"/>
        <v>395.46</v>
      </c>
      <c r="T275" s="28">
        <f t="shared" si="29"/>
        <v>242.45999999999998</v>
      </c>
      <c r="U275" s="11">
        <f t="shared" si="25"/>
        <v>0.38007900677200901</v>
      </c>
      <c r="V275" s="1" t="str">
        <f t="shared" si="26"/>
        <v>Standard</v>
      </c>
      <c r="W275" s="1" t="str">
        <f t="shared" si="27"/>
        <v>OK</v>
      </c>
    </row>
    <row r="276" spans="1:23">
      <c r="A276" s="1">
        <v>56894</v>
      </c>
      <c r="B276" s="10">
        <v>45785</v>
      </c>
      <c r="C276" s="1">
        <v>18</v>
      </c>
      <c r="D276" s="1" t="s">
        <v>57</v>
      </c>
      <c r="E276" s="1" t="s">
        <v>72</v>
      </c>
      <c r="F276" s="1" t="s">
        <v>88</v>
      </c>
      <c r="G276" s="1" t="s">
        <v>60</v>
      </c>
      <c r="H276" s="1" t="s">
        <v>70</v>
      </c>
      <c r="I276" s="1" t="s">
        <v>203</v>
      </c>
      <c r="J276" s="24">
        <v>1.84</v>
      </c>
      <c r="K276" s="24">
        <v>2.88</v>
      </c>
      <c r="L276" s="28">
        <v>1.04</v>
      </c>
      <c r="M276" s="1">
        <v>17</v>
      </c>
      <c r="N276" s="28">
        <v>48.96</v>
      </c>
      <c r="O276" s="29">
        <v>0.02</v>
      </c>
      <c r="P276" s="28">
        <v>0.97920000000000007</v>
      </c>
      <c r="Q276" s="28">
        <v>47.980800000000002</v>
      </c>
      <c r="R276" s="1" t="str">
        <f t="shared" si="24"/>
        <v>May</v>
      </c>
      <c r="S276" s="28">
        <f t="shared" si="28"/>
        <v>31.28</v>
      </c>
      <c r="T276" s="28">
        <f t="shared" si="29"/>
        <v>16.700800000000001</v>
      </c>
      <c r="U276" s="11">
        <f t="shared" si="25"/>
        <v>0.34807256235827666</v>
      </c>
      <c r="V276" s="1" t="str">
        <f t="shared" si="26"/>
        <v>Very Slow</v>
      </c>
      <c r="W276" s="1" t="str">
        <f t="shared" si="27"/>
        <v>OK</v>
      </c>
    </row>
    <row r="277" spans="1:23">
      <c r="A277" s="1">
        <v>56895</v>
      </c>
      <c r="B277" s="10">
        <v>45785</v>
      </c>
      <c r="C277" s="1">
        <v>22</v>
      </c>
      <c r="D277" s="1" t="s">
        <v>63</v>
      </c>
      <c r="E277" s="1" t="s">
        <v>72</v>
      </c>
      <c r="F277" s="1" t="s">
        <v>64</v>
      </c>
      <c r="G277" s="1" t="s">
        <v>60</v>
      </c>
      <c r="H277" s="1" t="s">
        <v>90</v>
      </c>
      <c r="I277" s="1" t="s">
        <v>201</v>
      </c>
      <c r="J277" s="24">
        <v>3.75</v>
      </c>
      <c r="K277" s="24">
        <v>7.08</v>
      </c>
      <c r="L277" s="28">
        <v>3.33</v>
      </c>
      <c r="M277" s="1">
        <v>18</v>
      </c>
      <c r="N277" s="28">
        <v>127.44</v>
      </c>
      <c r="O277" s="29">
        <v>0.02</v>
      </c>
      <c r="P277" s="28">
        <v>2.5488</v>
      </c>
      <c r="Q277" s="28">
        <v>124.8912</v>
      </c>
      <c r="R277" s="1" t="str">
        <f t="shared" si="24"/>
        <v>May</v>
      </c>
      <c r="S277" s="28">
        <f t="shared" si="28"/>
        <v>67.5</v>
      </c>
      <c r="T277" s="28">
        <f t="shared" si="29"/>
        <v>57.391199999999998</v>
      </c>
      <c r="U277" s="11">
        <f t="shared" si="25"/>
        <v>0.45952957454168109</v>
      </c>
      <c r="V277" s="1" t="str">
        <f t="shared" si="26"/>
        <v>Very Slow</v>
      </c>
      <c r="W277" s="1" t="str">
        <f t="shared" si="27"/>
        <v>OK</v>
      </c>
    </row>
    <row r="278" spans="1:23">
      <c r="A278" s="1">
        <v>56896</v>
      </c>
      <c r="B278" s="10">
        <v>45786</v>
      </c>
      <c r="C278" s="1">
        <v>15</v>
      </c>
      <c r="D278" s="1" t="s">
        <v>78</v>
      </c>
      <c r="E278" s="1" t="s">
        <v>72</v>
      </c>
      <c r="F278" s="1" t="s">
        <v>59</v>
      </c>
      <c r="G278" s="1" t="s">
        <v>81</v>
      </c>
      <c r="H278" s="1" t="s">
        <v>65</v>
      </c>
      <c r="I278" s="1" t="s">
        <v>204</v>
      </c>
      <c r="J278" s="24">
        <v>6.4</v>
      </c>
      <c r="K278" s="24">
        <v>29.1</v>
      </c>
      <c r="L278" s="28">
        <v>22.7</v>
      </c>
      <c r="M278" s="1">
        <v>48</v>
      </c>
      <c r="N278" s="28">
        <v>1396.8</v>
      </c>
      <c r="O278" s="29">
        <v>0.09</v>
      </c>
      <c r="P278" s="28">
        <v>125.712</v>
      </c>
      <c r="Q278" s="28">
        <v>1271.088</v>
      </c>
      <c r="R278" s="1" t="str">
        <f t="shared" si="24"/>
        <v>May</v>
      </c>
      <c r="S278" s="28">
        <f t="shared" si="28"/>
        <v>307.20000000000005</v>
      </c>
      <c r="T278" s="28">
        <f t="shared" si="29"/>
        <v>963.88799999999992</v>
      </c>
      <c r="U278" s="11">
        <f t="shared" si="25"/>
        <v>0.75831728409047994</v>
      </c>
      <c r="V278" s="1" t="str">
        <f t="shared" si="26"/>
        <v>Very Slow</v>
      </c>
      <c r="W278" s="1" t="str">
        <f t="shared" si="27"/>
        <v>OK</v>
      </c>
    </row>
    <row r="279" spans="1:23">
      <c r="A279" s="1">
        <v>56897</v>
      </c>
      <c r="B279" s="10">
        <v>45786</v>
      </c>
      <c r="C279" s="1">
        <v>10</v>
      </c>
      <c r="D279" s="1" t="s">
        <v>57</v>
      </c>
      <c r="E279" s="1" t="s">
        <v>67</v>
      </c>
      <c r="F279" s="1" t="s">
        <v>59</v>
      </c>
      <c r="G279" s="1" t="s">
        <v>60</v>
      </c>
      <c r="H279" s="1" t="s">
        <v>65</v>
      </c>
      <c r="I279" s="1" t="s">
        <v>187</v>
      </c>
      <c r="J279" s="24">
        <v>2.2599999999999998</v>
      </c>
      <c r="K279" s="24">
        <v>3.58</v>
      </c>
      <c r="L279" s="28">
        <v>1.32</v>
      </c>
      <c r="M279" s="1">
        <v>46</v>
      </c>
      <c r="N279" s="28">
        <v>164.68</v>
      </c>
      <c r="O279" s="29">
        <v>0</v>
      </c>
      <c r="P279" s="28">
        <v>0</v>
      </c>
      <c r="Q279" s="28">
        <v>164.68</v>
      </c>
      <c r="R279" s="1" t="str">
        <f t="shared" si="24"/>
        <v>May</v>
      </c>
      <c r="S279" s="28">
        <f t="shared" si="28"/>
        <v>103.96</v>
      </c>
      <c r="T279" s="28">
        <f t="shared" si="29"/>
        <v>60.720000000000013</v>
      </c>
      <c r="U279" s="11">
        <f t="shared" si="25"/>
        <v>0.36871508379888274</v>
      </c>
      <c r="V279" s="1" t="str">
        <f t="shared" si="26"/>
        <v>Slow</v>
      </c>
      <c r="W279" s="1" t="str">
        <f t="shared" si="27"/>
        <v>OK</v>
      </c>
    </row>
    <row r="280" spans="1:23">
      <c r="A280" s="1">
        <v>56898</v>
      </c>
      <c r="B280" s="10">
        <v>45787</v>
      </c>
      <c r="C280" s="1">
        <v>1</v>
      </c>
      <c r="D280" s="1" t="s">
        <v>57</v>
      </c>
      <c r="E280" s="1" t="s">
        <v>67</v>
      </c>
      <c r="F280" s="1" t="s">
        <v>84</v>
      </c>
      <c r="G280" s="1" t="s">
        <v>60</v>
      </c>
      <c r="H280" s="1" t="s">
        <v>61</v>
      </c>
      <c r="I280" s="1" t="s">
        <v>171</v>
      </c>
      <c r="J280" s="24">
        <v>2.9</v>
      </c>
      <c r="K280" s="24">
        <v>4.76</v>
      </c>
      <c r="L280" s="28">
        <v>1.86</v>
      </c>
      <c r="M280" s="1">
        <v>23</v>
      </c>
      <c r="N280" s="28">
        <v>109.48</v>
      </c>
      <c r="O280" s="29">
        <v>0.05</v>
      </c>
      <c r="P280" s="28">
        <v>5.4740000000000002</v>
      </c>
      <c r="Q280" s="28">
        <v>104.006</v>
      </c>
      <c r="R280" s="1" t="str">
        <f t="shared" si="24"/>
        <v>May</v>
      </c>
      <c r="S280" s="28">
        <f t="shared" si="28"/>
        <v>66.7</v>
      </c>
      <c r="T280" s="28">
        <f t="shared" si="29"/>
        <v>37.305999999999997</v>
      </c>
      <c r="U280" s="11">
        <f t="shared" si="25"/>
        <v>0.35869084475895618</v>
      </c>
      <c r="V280" s="1" t="str">
        <f t="shared" si="26"/>
        <v>Fast</v>
      </c>
      <c r="W280" s="1" t="str">
        <f t="shared" si="27"/>
        <v>OK</v>
      </c>
    </row>
    <row r="281" spans="1:23">
      <c r="A281" s="1">
        <v>56899</v>
      </c>
      <c r="B281" s="10">
        <v>45787</v>
      </c>
      <c r="C281" s="1">
        <v>14</v>
      </c>
      <c r="D281" s="1" t="s">
        <v>78</v>
      </c>
      <c r="E281" s="1" t="s">
        <v>72</v>
      </c>
      <c r="F281" s="1" t="s">
        <v>64</v>
      </c>
      <c r="G281" s="1" t="s">
        <v>60</v>
      </c>
      <c r="H281" s="1" t="s">
        <v>65</v>
      </c>
      <c r="I281" s="1" t="s">
        <v>201</v>
      </c>
      <c r="J281" s="24">
        <v>3.75</v>
      </c>
      <c r="K281" s="24">
        <v>7.08</v>
      </c>
      <c r="L281" s="28">
        <v>3.33</v>
      </c>
      <c r="M281" s="1">
        <v>32</v>
      </c>
      <c r="N281" s="28">
        <v>226.56</v>
      </c>
      <c r="O281" s="29">
        <v>0.01</v>
      </c>
      <c r="P281" s="28">
        <v>2.2656000000000001</v>
      </c>
      <c r="Q281" s="28">
        <v>224.2944</v>
      </c>
      <c r="R281" s="1" t="str">
        <f t="shared" si="24"/>
        <v>May</v>
      </c>
      <c r="S281" s="28">
        <f t="shared" si="28"/>
        <v>120</v>
      </c>
      <c r="T281" s="28">
        <f t="shared" si="29"/>
        <v>104.2944</v>
      </c>
      <c r="U281" s="11">
        <f t="shared" si="25"/>
        <v>0.46498887176853276</v>
      </c>
      <c r="V281" s="1" t="str">
        <f t="shared" si="26"/>
        <v>Slow</v>
      </c>
      <c r="W281" s="1" t="str">
        <f t="shared" si="27"/>
        <v>OK</v>
      </c>
    </row>
    <row r="282" spans="1:23">
      <c r="A282" s="1">
        <v>56900</v>
      </c>
      <c r="B282" s="10">
        <v>45788</v>
      </c>
      <c r="C282" s="1">
        <v>21</v>
      </c>
      <c r="D282" s="1" t="s">
        <v>57</v>
      </c>
      <c r="E282" s="1" t="s">
        <v>58</v>
      </c>
      <c r="F282" s="1" t="s">
        <v>59</v>
      </c>
      <c r="G282" s="1" t="s">
        <v>81</v>
      </c>
      <c r="H282" s="1" t="s">
        <v>68</v>
      </c>
      <c r="I282" s="1" t="s">
        <v>150</v>
      </c>
      <c r="J282" s="24">
        <v>8.82</v>
      </c>
      <c r="K282" s="24">
        <v>20.99</v>
      </c>
      <c r="L282" s="28">
        <v>12.17</v>
      </c>
      <c r="M282" s="1">
        <v>3</v>
      </c>
      <c r="N282" s="28">
        <v>62.97</v>
      </c>
      <c r="O282" s="29">
        <v>7.0000000000000007E-2</v>
      </c>
      <c r="P282" s="28">
        <v>4.4079000000000006</v>
      </c>
      <c r="Q282" s="28">
        <v>58.562100000000001</v>
      </c>
      <c r="R282" s="1" t="str">
        <f t="shared" si="24"/>
        <v>May</v>
      </c>
      <c r="S282" s="28">
        <f t="shared" si="28"/>
        <v>26.46</v>
      </c>
      <c r="T282" s="28">
        <f t="shared" si="29"/>
        <v>32.1021</v>
      </c>
      <c r="U282" s="11">
        <f t="shared" si="25"/>
        <v>0.54817194055541041</v>
      </c>
      <c r="V282" s="1" t="str">
        <f t="shared" si="26"/>
        <v>Very Slow</v>
      </c>
      <c r="W282" s="1" t="str">
        <f t="shared" si="27"/>
        <v>OK</v>
      </c>
    </row>
    <row r="283" spans="1:23">
      <c r="A283" s="1">
        <v>56901</v>
      </c>
      <c r="B283" s="10">
        <v>45788</v>
      </c>
      <c r="C283" s="1">
        <v>10</v>
      </c>
      <c r="D283" s="1" t="s">
        <v>57</v>
      </c>
      <c r="E283" s="1" t="s">
        <v>72</v>
      </c>
      <c r="F283" s="1" t="s">
        <v>79</v>
      </c>
      <c r="G283" s="1" t="s">
        <v>60</v>
      </c>
      <c r="H283" s="1" t="s">
        <v>90</v>
      </c>
      <c r="I283" s="1" t="s">
        <v>103</v>
      </c>
      <c r="J283" s="24">
        <v>4.59</v>
      </c>
      <c r="K283" s="24">
        <v>7.28</v>
      </c>
      <c r="L283" s="28">
        <v>2.69</v>
      </c>
      <c r="M283" s="1">
        <v>36</v>
      </c>
      <c r="N283" s="28">
        <v>262.08</v>
      </c>
      <c r="O283" s="29">
        <v>0.04</v>
      </c>
      <c r="P283" s="28">
        <v>10.4832</v>
      </c>
      <c r="Q283" s="28">
        <v>251.5968</v>
      </c>
      <c r="R283" s="1" t="str">
        <f t="shared" si="24"/>
        <v>May</v>
      </c>
      <c r="S283" s="28">
        <f t="shared" si="28"/>
        <v>165.24</v>
      </c>
      <c r="T283" s="28">
        <f t="shared" si="29"/>
        <v>86.356799999999993</v>
      </c>
      <c r="U283" s="11">
        <f t="shared" si="25"/>
        <v>0.34323489010989006</v>
      </c>
      <c r="V283" s="1" t="str">
        <f t="shared" si="26"/>
        <v>Slow</v>
      </c>
      <c r="W283" s="1" t="str">
        <f t="shared" si="27"/>
        <v>OK</v>
      </c>
    </row>
    <row r="284" spans="1:23">
      <c r="A284" s="1">
        <v>56902</v>
      </c>
      <c r="B284" s="10">
        <v>45788</v>
      </c>
      <c r="C284" s="1">
        <v>19</v>
      </c>
      <c r="D284" s="1" t="s">
        <v>57</v>
      </c>
      <c r="E284" s="1" t="s">
        <v>72</v>
      </c>
      <c r="F284" s="1" t="s">
        <v>108</v>
      </c>
      <c r="G284" s="1" t="s">
        <v>60</v>
      </c>
      <c r="H284" s="1" t="s">
        <v>70</v>
      </c>
      <c r="I284" s="1" t="s">
        <v>101</v>
      </c>
      <c r="J284" s="24">
        <v>1.94</v>
      </c>
      <c r="K284" s="24">
        <v>3.08</v>
      </c>
      <c r="L284" s="28">
        <v>1.1399999999999999</v>
      </c>
      <c r="M284" s="1">
        <v>6</v>
      </c>
      <c r="N284" s="28">
        <v>18.48</v>
      </c>
      <c r="O284" s="29">
        <v>0.06</v>
      </c>
      <c r="P284" s="28">
        <v>1.1088</v>
      </c>
      <c r="Q284" s="28">
        <v>17.371200000000002</v>
      </c>
      <c r="R284" s="1" t="str">
        <f t="shared" si="24"/>
        <v>May</v>
      </c>
      <c r="S284" s="28">
        <f t="shared" si="28"/>
        <v>11.64</v>
      </c>
      <c r="T284" s="28">
        <f t="shared" si="29"/>
        <v>5.7312000000000012</v>
      </c>
      <c r="U284" s="11">
        <f t="shared" si="25"/>
        <v>0.32992539375518104</v>
      </c>
      <c r="V284" s="1" t="str">
        <f t="shared" si="26"/>
        <v>Very Slow</v>
      </c>
      <c r="W284" s="1" t="str">
        <f t="shared" si="27"/>
        <v>OK</v>
      </c>
    </row>
    <row r="285" spans="1:23">
      <c r="A285" s="1">
        <v>56903</v>
      </c>
      <c r="B285" s="10">
        <v>45790</v>
      </c>
      <c r="C285" s="1">
        <v>21</v>
      </c>
      <c r="D285" s="1" t="s">
        <v>78</v>
      </c>
      <c r="E285" s="1" t="s">
        <v>67</v>
      </c>
      <c r="F285" s="1" t="s">
        <v>84</v>
      </c>
      <c r="G285" s="1" t="s">
        <v>60</v>
      </c>
      <c r="H285" s="1" t="s">
        <v>68</v>
      </c>
      <c r="I285" s="1" t="s">
        <v>69</v>
      </c>
      <c r="J285" s="24">
        <v>3.37</v>
      </c>
      <c r="K285" s="24">
        <v>5.53</v>
      </c>
      <c r="L285" s="28">
        <v>2.16</v>
      </c>
      <c r="M285" s="1">
        <v>22</v>
      </c>
      <c r="N285" s="28">
        <v>121.66</v>
      </c>
      <c r="O285" s="29">
        <v>0.1</v>
      </c>
      <c r="P285" s="28">
        <v>12.166</v>
      </c>
      <c r="Q285" s="28">
        <v>109.494</v>
      </c>
      <c r="R285" s="1" t="str">
        <f t="shared" si="24"/>
        <v>May</v>
      </c>
      <c r="S285" s="28">
        <f t="shared" si="28"/>
        <v>74.14</v>
      </c>
      <c r="T285" s="28">
        <f t="shared" si="29"/>
        <v>35.353999999999999</v>
      </c>
      <c r="U285" s="11">
        <f t="shared" si="25"/>
        <v>0.32288527225236086</v>
      </c>
      <c r="V285" s="1" t="str">
        <f t="shared" si="26"/>
        <v>Very Slow</v>
      </c>
      <c r="W285" s="1" t="str">
        <f t="shared" si="27"/>
        <v>OK</v>
      </c>
    </row>
    <row r="286" spans="1:23">
      <c r="A286" s="1">
        <v>56904</v>
      </c>
      <c r="B286" s="10">
        <v>45790</v>
      </c>
      <c r="C286" s="1">
        <v>14</v>
      </c>
      <c r="D286" s="1" t="s">
        <v>78</v>
      </c>
      <c r="E286" s="1" t="s">
        <v>67</v>
      </c>
      <c r="F286" s="1" t="s">
        <v>64</v>
      </c>
      <c r="G286" s="1" t="s">
        <v>60</v>
      </c>
      <c r="H286" s="1" t="s">
        <v>65</v>
      </c>
      <c r="I286" s="1" t="s">
        <v>149</v>
      </c>
      <c r="J286" s="24">
        <v>3.52</v>
      </c>
      <c r="K286" s="24">
        <v>5.68</v>
      </c>
      <c r="L286" s="28">
        <v>2.16</v>
      </c>
      <c r="M286" s="1">
        <v>9</v>
      </c>
      <c r="N286" s="28">
        <v>51.12</v>
      </c>
      <c r="O286" s="29">
        <v>0.02</v>
      </c>
      <c r="P286" s="28">
        <v>1.0224</v>
      </c>
      <c r="Q286" s="28">
        <v>50.0976</v>
      </c>
      <c r="R286" s="1" t="str">
        <f t="shared" si="24"/>
        <v>May</v>
      </c>
      <c r="S286" s="28">
        <f t="shared" si="28"/>
        <v>31.68</v>
      </c>
      <c r="T286" s="28">
        <f t="shared" si="29"/>
        <v>18.4176</v>
      </c>
      <c r="U286" s="11">
        <f t="shared" si="25"/>
        <v>0.36763437769473989</v>
      </c>
      <c r="V286" s="1" t="str">
        <f t="shared" si="26"/>
        <v>Slow</v>
      </c>
      <c r="W286" s="1" t="str">
        <f t="shared" si="27"/>
        <v>OK</v>
      </c>
    </row>
    <row r="287" spans="1:23">
      <c r="A287" s="1">
        <v>56905</v>
      </c>
      <c r="B287" s="10">
        <v>45791</v>
      </c>
      <c r="C287" s="1">
        <v>10</v>
      </c>
      <c r="D287" s="1" t="s">
        <v>57</v>
      </c>
      <c r="E287" s="1" t="s">
        <v>87</v>
      </c>
      <c r="F287" s="1" t="s">
        <v>64</v>
      </c>
      <c r="G287" s="1" t="s">
        <v>81</v>
      </c>
      <c r="H287" s="1" t="s">
        <v>61</v>
      </c>
      <c r="I287" s="1" t="s">
        <v>150</v>
      </c>
      <c r="J287" s="24">
        <v>8.82</v>
      </c>
      <c r="K287" s="24">
        <v>20.99</v>
      </c>
      <c r="L287" s="28">
        <v>12.17</v>
      </c>
      <c r="M287" s="1">
        <v>37</v>
      </c>
      <c r="N287" s="28">
        <v>776.63</v>
      </c>
      <c r="O287" s="29">
        <v>0.03</v>
      </c>
      <c r="P287" s="28">
        <v>23.2989</v>
      </c>
      <c r="Q287" s="28">
        <v>753.33109999999999</v>
      </c>
      <c r="R287" s="1" t="str">
        <f t="shared" si="24"/>
        <v>May</v>
      </c>
      <c r="S287" s="28">
        <f t="shared" si="28"/>
        <v>326.34000000000003</v>
      </c>
      <c r="T287" s="28">
        <f t="shared" si="29"/>
        <v>426.99109999999996</v>
      </c>
      <c r="U287" s="11">
        <f t="shared" si="25"/>
        <v>0.56680402548096043</v>
      </c>
      <c r="V287" s="1" t="str">
        <f t="shared" si="26"/>
        <v>Slow</v>
      </c>
      <c r="W287" s="1" t="str">
        <f t="shared" si="27"/>
        <v>OK</v>
      </c>
    </row>
    <row r="288" spans="1:23">
      <c r="A288" s="1">
        <v>56906</v>
      </c>
      <c r="B288" s="10">
        <v>45791</v>
      </c>
      <c r="C288" s="1">
        <v>4</v>
      </c>
      <c r="D288" s="1" t="s">
        <v>57</v>
      </c>
      <c r="E288" s="1" t="s">
        <v>87</v>
      </c>
      <c r="F288" s="1" t="s">
        <v>18</v>
      </c>
      <c r="G288" s="1" t="s">
        <v>60</v>
      </c>
      <c r="H288" s="1" t="s">
        <v>61</v>
      </c>
      <c r="I288" s="1" t="s">
        <v>106</v>
      </c>
      <c r="J288" s="24">
        <v>1.53</v>
      </c>
      <c r="K288" s="24">
        <v>2.78</v>
      </c>
      <c r="L288" s="28">
        <v>1.25</v>
      </c>
      <c r="M288" s="1">
        <v>33</v>
      </c>
      <c r="N288" s="28">
        <v>91.74</v>
      </c>
      <c r="O288" s="29">
        <v>0</v>
      </c>
      <c r="P288" s="28">
        <v>0</v>
      </c>
      <c r="Q288" s="28">
        <v>91.74</v>
      </c>
      <c r="R288" s="1" t="str">
        <f t="shared" si="24"/>
        <v>May</v>
      </c>
      <c r="S288" s="28">
        <f t="shared" si="28"/>
        <v>50.49</v>
      </c>
      <c r="T288" s="28">
        <f t="shared" si="29"/>
        <v>41.249999999999993</v>
      </c>
      <c r="U288" s="11">
        <f t="shared" si="25"/>
        <v>0.4496402877697841</v>
      </c>
      <c r="V288" s="1" t="str">
        <f t="shared" si="26"/>
        <v>Standard</v>
      </c>
      <c r="W288" s="1" t="str">
        <f t="shared" si="27"/>
        <v>OK</v>
      </c>
    </row>
    <row r="289" spans="1:23">
      <c r="A289" s="1">
        <v>56907</v>
      </c>
      <c r="B289" s="10">
        <v>45792</v>
      </c>
      <c r="C289" s="1">
        <v>11</v>
      </c>
      <c r="D289" s="1" t="s">
        <v>57</v>
      </c>
      <c r="E289" s="1" t="s">
        <v>67</v>
      </c>
      <c r="F289" s="1" t="s">
        <v>59</v>
      </c>
      <c r="G289" s="1" t="s">
        <v>60</v>
      </c>
      <c r="H289" s="1" t="s">
        <v>61</v>
      </c>
      <c r="I289" s="1" t="s">
        <v>151</v>
      </c>
      <c r="J289" s="24">
        <v>2.31</v>
      </c>
      <c r="K289" s="24">
        <v>3.78</v>
      </c>
      <c r="L289" s="28">
        <v>1.47</v>
      </c>
      <c r="M289" s="1">
        <v>33</v>
      </c>
      <c r="N289" s="28">
        <v>124.74</v>
      </c>
      <c r="O289" s="29">
        <v>0</v>
      </c>
      <c r="P289" s="28">
        <v>0</v>
      </c>
      <c r="Q289" s="28">
        <v>124.74</v>
      </c>
      <c r="R289" s="1" t="str">
        <f t="shared" si="24"/>
        <v>May</v>
      </c>
      <c r="S289" s="28">
        <f t="shared" si="28"/>
        <v>76.23</v>
      </c>
      <c r="T289" s="28">
        <f t="shared" si="29"/>
        <v>48.509999999999991</v>
      </c>
      <c r="U289" s="11">
        <f t="shared" si="25"/>
        <v>0.38888888888888884</v>
      </c>
      <c r="V289" s="1" t="str">
        <f t="shared" si="26"/>
        <v>Slow</v>
      </c>
      <c r="W289" s="1" t="str">
        <f t="shared" si="27"/>
        <v>OK</v>
      </c>
    </row>
    <row r="290" spans="1:23">
      <c r="A290" s="1">
        <v>56908</v>
      </c>
      <c r="B290" s="10">
        <v>45793</v>
      </c>
      <c r="C290" s="1">
        <v>14</v>
      </c>
      <c r="D290" s="1" t="s">
        <v>63</v>
      </c>
      <c r="E290" s="1" t="s">
        <v>58</v>
      </c>
      <c r="F290" s="1" t="s">
        <v>75</v>
      </c>
      <c r="G290" s="1" t="s">
        <v>60</v>
      </c>
      <c r="H290" s="1" t="s">
        <v>70</v>
      </c>
      <c r="I290" s="1" t="s">
        <v>205</v>
      </c>
      <c r="J290" s="24">
        <v>2.5</v>
      </c>
      <c r="K290" s="24">
        <v>5.68</v>
      </c>
      <c r="L290" s="28">
        <v>3.18</v>
      </c>
      <c r="M290" s="1">
        <v>50</v>
      </c>
      <c r="N290" s="28">
        <v>284</v>
      </c>
      <c r="O290" s="29">
        <v>0.01</v>
      </c>
      <c r="P290" s="28">
        <v>2.84</v>
      </c>
      <c r="Q290" s="28">
        <v>281.16000000000003</v>
      </c>
      <c r="R290" s="1" t="str">
        <f t="shared" si="24"/>
        <v>May</v>
      </c>
      <c r="S290" s="28">
        <f t="shared" si="28"/>
        <v>125</v>
      </c>
      <c r="T290" s="28">
        <f t="shared" si="29"/>
        <v>156.16000000000003</v>
      </c>
      <c r="U290" s="11">
        <f t="shared" si="25"/>
        <v>0.55541328780765409</v>
      </c>
      <c r="V290" s="1" t="str">
        <f t="shared" si="26"/>
        <v>Slow</v>
      </c>
      <c r="W290" s="1" t="str">
        <f t="shared" si="27"/>
        <v>OK</v>
      </c>
    </row>
    <row r="291" spans="1:23">
      <c r="A291" s="1">
        <v>56909</v>
      </c>
      <c r="B291" s="10">
        <v>45793</v>
      </c>
      <c r="C291" s="1">
        <v>6</v>
      </c>
      <c r="D291" s="1" t="s">
        <v>57</v>
      </c>
      <c r="E291" s="1" t="s">
        <v>72</v>
      </c>
      <c r="F291" s="1" t="s">
        <v>75</v>
      </c>
      <c r="G291" s="1" t="s">
        <v>60</v>
      </c>
      <c r="H291" s="1" t="s">
        <v>65</v>
      </c>
      <c r="I291" s="1" t="s">
        <v>152</v>
      </c>
      <c r="J291" s="24">
        <v>1.59</v>
      </c>
      <c r="K291" s="24">
        <v>2.61</v>
      </c>
      <c r="L291" s="28">
        <v>1.02</v>
      </c>
      <c r="M291" s="1">
        <v>9</v>
      </c>
      <c r="N291" s="28">
        <v>23.49</v>
      </c>
      <c r="O291" s="29">
        <v>0.02</v>
      </c>
      <c r="P291" s="28">
        <v>0.4698</v>
      </c>
      <c r="Q291" s="28">
        <v>23.020199999999999</v>
      </c>
      <c r="R291" s="1" t="str">
        <f t="shared" si="24"/>
        <v>May</v>
      </c>
      <c r="S291" s="28">
        <f t="shared" si="28"/>
        <v>14.31</v>
      </c>
      <c r="T291" s="28">
        <f t="shared" si="29"/>
        <v>8.7101999999999986</v>
      </c>
      <c r="U291" s="11">
        <f t="shared" si="25"/>
        <v>0.37837203847056061</v>
      </c>
      <c r="V291" s="1" t="str">
        <f t="shared" si="26"/>
        <v>Standard</v>
      </c>
      <c r="W291" s="1" t="str">
        <f t="shared" si="27"/>
        <v>OK</v>
      </c>
    </row>
    <row r="292" spans="1:23">
      <c r="A292" s="1">
        <v>56910</v>
      </c>
      <c r="B292" s="10">
        <v>45794</v>
      </c>
      <c r="C292" s="1">
        <v>19</v>
      </c>
      <c r="D292" s="1" t="s">
        <v>57</v>
      </c>
      <c r="E292" s="1" t="s">
        <v>58</v>
      </c>
      <c r="F292" s="1" t="s">
        <v>108</v>
      </c>
      <c r="G292" s="1" t="s">
        <v>81</v>
      </c>
      <c r="H292" s="1" t="s">
        <v>90</v>
      </c>
      <c r="I292" s="1" t="s">
        <v>110</v>
      </c>
      <c r="J292" s="24">
        <v>216</v>
      </c>
      <c r="K292" s="24">
        <v>449.99</v>
      </c>
      <c r="L292" s="28">
        <v>233.99</v>
      </c>
      <c r="M292" s="1">
        <v>51</v>
      </c>
      <c r="N292" s="28">
        <v>22949.49</v>
      </c>
      <c r="O292" s="29">
        <v>0.06</v>
      </c>
      <c r="P292" s="28">
        <v>1376.9694</v>
      </c>
      <c r="Q292" s="28">
        <v>21572.5206</v>
      </c>
      <c r="R292" s="1" t="str">
        <f t="shared" si="24"/>
        <v>May</v>
      </c>
      <c r="S292" s="28">
        <f t="shared" si="28"/>
        <v>11016</v>
      </c>
      <c r="T292" s="28">
        <f t="shared" si="29"/>
        <v>10556.5206</v>
      </c>
      <c r="U292" s="11">
        <f t="shared" si="25"/>
        <v>0.48935035435775642</v>
      </c>
      <c r="V292" s="1" t="str">
        <f t="shared" si="26"/>
        <v>Very Slow</v>
      </c>
      <c r="W292" s="1" t="str">
        <f t="shared" si="27"/>
        <v>OK</v>
      </c>
    </row>
    <row r="293" spans="1:23">
      <c r="A293" s="1">
        <v>56911</v>
      </c>
      <c r="B293" s="10">
        <v>45794</v>
      </c>
      <c r="C293" s="1">
        <v>4</v>
      </c>
      <c r="D293" s="1" t="s">
        <v>63</v>
      </c>
      <c r="E293" s="1" t="s">
        <v>58</v>
      </c>
      <c r="F293" s="1" t="s">
        <v>79</v>
      </c>
      <c r="G293" s="1" t="s">
        <v>81</v>
      </c>
      <c r="H293" s="1" t="s">
        <v>70</v>
      </c>
      <c r="I293" s="1" t="s">
        <v>206</v>
      </c>
      <c r="J293" s="24">
        <v>75</v>
      </c>
      <c r="K293" s="24">
        <v>120.97</v>
      </c>
      <c r="L293" s="28">
        <v>45.97</v>
      </c>
      <c r="M293" s="1">
        <v>45</v>
      </c>
      <c r="N293" s="28">
        <v>5443.65</v>
      </c>
      <c r="O293" s="29">
        <v>0</v>
      </c>
      <c r="P293" s="28">
        <v>0</v>
      </c>
      <c r="Q293" s="28">
        <v>5443.65</v>
      </c>
      <c r="R293" s="1" t="str">
        <f t="shared" si="24"/>
        <v>May</v>
      </c>
      <c r="S293" s="28">
        <f t="shared" si="28"/>
        <v>3375</v>
      </c>
      <c r="T293" s="28">
        <f t="shared" si="29"/>
        <v>2068.6499999999996</v>
      </c>
      <c r="U293" s="11">
        <f t="shared" si="25"/>
        <v>0.38001157311730177</v>
      </c>
      <c r="V293" s="1" t="str">
        <f t="shared" si="26"/>
        <v>Standard</v>
      </c>
      <c r="W293" s="1" t="str">
        <f t="shared" si="27"/>
        <v>OK</v>
      </c>
    </row>
    <row r="294" spans="1:23">
      <c r="A294" s="1">
        <v>56912</v>
      </c>
      <c r="B294" s="10">
        <v>45795</v>
      </c>
      <c r="C294" s="1">
        <v>16</v>
      </c>
      <c r="D294" s="1" t="s">
        <v>63</v>
      </c>
      <c r="E294" s="1" t="s">
        <v>67</v>
      </c>
      <c r="F294" s="1" t="s">
        <v>98</v>
      </c>
      <c r="G294" s="1" t="s">
        <v>60</v>
      </c>
      <c r="H294" s="1" t="s">
        <v>90</v>
      </c>
      <c r="I294" s="1" t="s">
        <v>207</v>
      </c>
      <c r="J294" s="24">
        <v>11.04</v>
      </c>
      <c r="K294" s="24">
        <v>16.98</v>
      </c>
      <c r="L294" s="28">
        <v>5.9400000000000013</v>
      </c>
      <c r="M294" s="1">
        <v>32</v>
      </c>
      <c r="N294" s="28">
        <v>543.36</v>
      </c>
      <c r="O294" s="29">
        <v>0.03</v>
      </c>
      <c r="P294" s="28">
        <v>16.300799999999999</v>
      </c>
      <c r="Q294" s="28">
        <v>527.05920000000003</v>
      </c>
      <c r="R294" s="1" t="str">
        <f t="shared" si="24"/>
        <v>May</v>
      </c>
      <c r="S294" s="28">
        <f t="shared" si="28"/>
        <v>353.28</v>
      </c>
      <c r="T294" s="28">
        <f t="shared" si="29"/>
        <v>173.77920000000006</v>
      </c>
      <c r="U294" s="11">
        <f t="shared" si="25"/>
        <v>0.32971476448945403</v>
      </c>
      <c r="V294" s="1" t="str">
        <f t="shared" si="26"/>
        <v>Very Slow</v>
      </c>
      <c r="W294" s="1" t="str">
        <f t="shared" si="27"/>
        <v>OK</v>
      </c>
    </row>
    <row r="295" spans="1:23">
      <c r="A295" s="1">
        <v>56913</v>
      </c>
      <c r="B295" s="10">
        <v>45796</v>
      </c>
      <c r="C295" s="1">
        <v>3</v>
      </c>
      <c r="D295" s="1" t="s">
        <v>57</v>
      </c>
      <c r="E295" s="1" t="s">
        <v>67</v>
      </c>
      <c r="F295" s="1" t="s">
        <v>84</v>
      </c>
      <c r="G295" s="1" t="s">
        <v>60</v>
      </c>
      <c r="H295" s="1" t="s">
        <v>65</v>
      </c>
      <c r="I295" s="1" t="s">
        <v>173</v>
      </c>
      <c r="J295" s="24">
        <v>5.19</v>
      </c>
      <c r="K295" s="24">
        <v>12.98</v>
      </c>
      <c r="L295" s="28">
        <v>7.79</v>
      </c>
      <c r="M295" s="1">
        <v>36</v>
      </c>
      <c r="N295" s="28">
        <v>467.28</v>
      </c>
      <c r="O295" s="29">
        <v>0.05</v>
      </c>
      <c r="P295" s="28">
        <v>23.364000000000001</v>
      </c>
      <c r="Q295" s="28">
        <v>443.91600000000011</v>
      </c>
      <c r="R295" s="1" t="str">
        <f t="shared" si="24"/>
        <v>May</v>
      </c>
      <c r="S295" s="28">
        <f t="shared" si="28"/>
        <v>186.84</v>
      </c>
      <c r="T295" s="28">
        <f t="shared" si="29"/>
        <v>257.07600000000014</v>
      </c>
      <c r="U295" s="11">
        <f t="shared" si="25"/>
        <v>0.57910956126834823</v>
      </c>
      <c r="V295" s="1" t="str">
        <f t="shared" si="26"/>
        <v>Fast</v>
      </c>
      <c r="W295" s="1" t="str">
        <f t="shared" si="27"/>
        <v>OK</v>
      </c>
    </row>
    <row r="296" spans="1:23">
      <c r="A296" s="1">
        <v>56914</v>
      </c>
      <c r="B296" s="10">
        <v>45796</v>
      </c>
      <c r="C296" s="1">
        <v>14</v>
      </c>
      <c r="D296" s="1" t="s">
        <v>57</v>
      </c>
      <c r="E296" s="1" t="s">
        <v>72</v>
      </c>
      <c r="F296" s="1" t="s">
        <v>64</v>
      </c>
      <c r="G296" s="1" t="s">
        <v>60</v>
      </c>
      <c r="H296" s="1" t="s">
        <v>70</v>
      </c>
      <c r="I296" s="1" t="s">
        <v>101</v>
      </c>
      <c r="J296" s="24">
        <v>1.94</v>
      </c>
      <c r="K296" s="24">
        <v>3.08</v>
      </c>
      <c r="L296" s="28">
        <v>1.1399999999999999</v>
      </c>
      <c r="M296" s="1">
        <v>45</v>
      </c>
      <c r="N296" s="28">
        <v>138.6</v>
      </c>
      <c r="O296" s="29">
        <v>0.09</v>
      </c>
      <c r="P296" s="28">
        <v>12.474</v>
      </c>
      <c r="Q296" s="28">
        <v>126.126</v>
      </c>
      <c r="R296" s="1" t="str">
        <f t="shared" si="24"/>
        <v>May</v>
      </c>
      <c r="S296" s="28">
        <f t="shared" si="28"/>
        <v>87.3</v>
      </c>
      <c r="T296" s="28">
        <f t="shared" si="29"/>
        <v>38.826000000000008</v>
      </c>
      <c r="U296" s="11">
        <f t="shared" si="25"/>
        <v>0.30783502212073643</v>
      </c>
      <c r="V296" s="1" t="str">
        <f t="shared" si="26"/>
        <v>Slow</v>
      </c>
      <c r="W296" s="1" t="str">
        <f t="shared" si="27"/>
        <v>OK</v>
      </c>
    </row>
    <row r="297" spans="1:23">
      <c r="A297" s="1">
        <v>56915</v>
      </c>
      <c r="B297" s="10">
        <v>45796</v>
      </c>
      <c r="C297" s="1">
        <v>11</v>
      </c>
      <c r="D297" s="1" t="s">
        <v>57</v>
      </c>
      <c r="E297" s="1" t="s">
        <v>67</v>
      </c>
      <c r="F297" s="1" t="s">
        <v>59</v>
      </c>
      <c r="G297" s="1" t="s">
        <v>81</v>
      </c>
      <c r="H297" s="1" t="s">
        <v>68</v>
      </c>
      <c r="I297" s="1" t="s">
        <v>185</v>
      </c>
      <c r="J297" s="24">
        <v>54.52</v>
      </c>
      <c r="K297" s="24">
        <v>100.97</v>
      </c>
      <c r="L297" s="28">
        <v>46.45</v>
      </c>
      <c r="M297" s="1">
        <v>13</v>
      </c>
      <c r="N297" s="28">
        <v>1312.61</v>
      </c>
      <c r="O297" s="29">
        <v>0.06</v>
      </c>
      <c r="P297" s="28">
        <v>78.756599999999992</v>
      </c>
      <c r="Q297" s="28">
        <v>1233.8534</v>
      </c>
      <c r="R297" s="1" t="str">
        <f t="shared" si="24"/>
        <v>May</v>
      </c>
      <c r="S297" s="28">
        <f t="shared" si="28"/>
        <v>708.76</v>
      </c>
      <c r="T297" s="28">
        <f t="shared" si="29"/>
        <v>525.09339999999997</v>
      </c>
      <c r="U297" s="11">
        <f t="shared" si="25"/>
        <v>0.42557195206496978</v>
      </c>
      <c r="V297" s="1" t="str">
        <f t="shared" si="26"/>
        <v>Slow</v>
      </c>
      <c r="W297" s="1" t="str">
        <f t="shared" si="27"/>
        <v>OK</v>
      </c>
    </row>
    <row r="298" spans="1:23">
      <c r="A298" s="1">
        <v>56916</v>
      </c>
      <c r="B298" s="10">
        <v>45796</v>
      </c>
      <c r="C298" s="1">
        <v>8</v>
      </c>
      <c r="D298" s="1" t="s">
        <v>57</v>
      </c>
      <c r="E298" s="1" t="s">
        <v>72</v>
      </c>
      <c r="F298" s="1" t="s">
        <v>108</v>
      </c>
      <c r="G298" s="1" t="s">
        <v>60</v>
      </c>
      <c r="H298" s="1" t="s">
        <v>61</v>
      </c>
      <c r="I298" s="1" t="s">
        <v>157</v>
      </c>
      <c r="J298" s="24">
        <v>4.53</v>
      </c>
      <c r="K298" s="24">
        <v>7.3</v>
      </c>
      <c r="L298" s="28">
        <v>2.77</v>
      </c>
      <c r="M298" s="1">
        <v>15</v>
      </c>
      <c r="N298" s="28">
        <v>109.5</v>
      </c>
      <c r="O298" s="29">
        <v>0.05</v>
      </c>
      <c r="P298" s="28">
        <v>5.4750000000000014</v>
      </c>
      <c r="Q298" s="28">
        <v>104.02500000000001</v>
      </c>
      <c r="R298" s="1" t="str">
        <f t="shared" si="24"/>
        <v>May</v>
      </c>
      <c r="S298" s="28">
        <f t="shared" si="28"/>
        <v>67.95</v>
      </c>
      <c r="T298" s="28">
        <f t="shared" si="29"/>
        <v>36.075000000000003</v>
      </c>
      <c r="U298" s="11">
        <f t="shared" si="25"/>
        <v>0.34679163662581108</v>
      </c>
      <c r="V298" s="1" t="str">
        <f t="shared" si="26"/>
        <v>Slow</v>
      </c>
      <c r="W298" s="1" t="str">
        <f t="shared" si="27"/>
        <v>OK</v>
      </c>
    </row>
    <row r="299" spans="1:23">
      <c r="A299" s="1">
        <v>56917</v>
      </c>
      <c r="B299" s="10">
        <v>45797</v>
      </c>
      <c r="C299" s="1">
        <v>15</v>
      </c>
      <c r="D299" s="1" t="s">
        <v>63</v>
      </c>
      <c r="E299" s="1" t="s">
        <v>67</v>
      </c>
      <c r="F299" s="1" t="s">
        <v>73</v>
      </c>
      <c r="G299" s="1" t="s">
        <v>60</v>
      </c>
      <c r="H299" s="1" t="s">
        <v>61</v>
      </c>
      <c r="I299" s="1" t="s">
        <v>169</v>
      </c>
      <c r="J299" s="24">
        <v>0.94</v>
      </c>
      <c r="K299" s="24">
        <v>2.08</v>
      </c>
      <c r="L299" s="28">
        <v>1.1399999999999999</v>
      </c>
      <c r="M299" s="1">
        <v>3</v>
      </c>
      <c r="N299" s="28">
        <v>6.24</v>
      </c>
      <c r="O299" s="29">
        <v>0.01</v>
      </c>
      <c r="P299" s="28">
        <v>6.2399999999999997E-2</v>
      </c>
      <c r="Q299" s="28">
        <v>6.1776</v>
      </c>
      <c r="R299" s="1" t="str">
        <f t="shared" si="24"/>
        <v>May</v>
      </c>
      <c r="S299" s="28">
        <f t="shared" si="28"/>
        <v>2.82</v>
      </c>
      <c r="T299" s="28">
        <f t="shared" si="29"/>
        <v>3.3576000000000001</v>
      </c>
      <c r="U299" s="11">
        <f t="shared" si="25"/>
        <v>0.54351204351204352</v>
      </c>
      <c r="V299" s="1" t="str">
        <f t="shared" si="26"/>
        <v>Very Slow</v>
      </c>
      <c r="W299" s="1" t="str">
        <f t="shared" si="27"/>
        <v>OK</v>
      </c>
    </row>
    <row r="300" spans="1:23">
      <c r="A300" s="1">
        <v>56918</v>
      </c>
      <c r="B300" s="10">
        <v>45798</v>
      </c>
      <c r="C300" s="1">
        <v>15</v>
      </c>
      <c r="D300" s="1" t="s">
        <v>57</v>
      </c>
      <c r="E300" s="1" t="s">
        <v>72</v>
      </c>
      <c r="F300" s="1" t="s">
        <v>96</v>
      </c>
      <c r="G300" s="1" t="s">
        <v>60</v>
      </c>
      <c r="H300" s="1" t="s">
        <v>61</v>
      </c>
      <c r="I300" s="1" t="s">
        <v>117</v>
      </c>
      <c r="J300" s="24">
        <v>4.37</v>
      </c>
      <c r="K300" s="24">
        <v>9.11</v>
      </c>
      <c r="L300" s="28">
        <v>4.7399999999999993</v>
      </c>
      <c r="M300" s="1">
        <v>1</v>
      </c>
      <c r="N300" s="28">
        <v>9.11</v>
      </c>
      <c r="O300" s="29">
        <v>0.1</v>
      </c>
      <c r="P300" s="28">
        <v>0.91100000000000003</v>
      </c>
      <c r="Q300" s="28">
        <v>8.1989999999999998</v>
      </c>
      <c r="R300" s="1" t="str">
        <f t="shared" si="24"/>
        <v>May</v>
      </c>
      <c r="S300" s="28">
        <f t="shared" si="28"/>
        <v>4.37</v>
      </c>
      <c r="T300" s="28">
        <f t="shared" si="29"/>
        <v>3.8289999999999997</v>
      </c>
      <c r="U300" s="11">
        <f t="shared" si="25"/>
        <v>0.46700817172825954</v>
      </c>
      <c r="V300" s="1" t="str">
        <f t="shared" si="26"/>
        <v>Very Slow</v>
      </c>
      <c r="W300" s="1" t="str">
        <f t="shared" si="27"/>
        <v>OK</v>
      </c>
    </row>
    <row r="301" spans="1:23">
      <c r="A301" s="1">
        <v>56919</v>
      </c>
      <c r="B301" s="10">
        <v>45799</v>
      </c>
      <c r="C301" s="1">
        <v>23</v>
      </c>
      <c r="D301" s="1" t="s">
        <v>78</v>
      </c>
      <c r="E301" s="1" t="s">
        <v>67</v>
      </c>
      <c r="F301" s="1" t="s">
        <v>18</v>
      </c>
      <c r="G301" s="1" t="s">
        <v>60</v>
      </c>
      <c r="H301" s="1" t="s">
        <v>65</v>
      </c>
      <c r="I301" s="1" t="s">
        <v>120</v>
      </c>
      <c r="J301" s="24">
        <v>16.8</v>
      </c>
      <c r="K301" s="24">
        <v>40.97</v>
      </c>
      <c r="L301" s="28">
        <v>24.17</v>
      </c>
      <c r="M301" s="1">
        <v>52</v>
      </c>
      <c r="N301" s="28">
        <v>2130.44</v>
      </c>
      <c r="O301" s="29">
        <v>0.08</v>
      </c>
      <c r="P301" s="28">
        <v>170.43520000000001</v>
      </c>
      <c r="Q301" s="28">
        <v>1960.0047999999999</v>
      </c>
      <c r="R301" s="1" t="str">
        <f t="shared" si="24"/>
        <v>May</v>
      </c>
      <c r="S301" s="28">
        <f t="shared" si="28"/>
        <v>873.6</v>
      </c>
      <c r="T301" s="28">
        <f t="shared" si="29"/>
        <v>1086.4047999999998</v>
      </c>
      <c r="U301" s="11">
        <f t="shared" si="25"/>
        <v>0.55428680582823053</v>
      </c>
      <c r="V301" s="1" t="str">
        <f t="shared" si="26"/>
        <v>Very Slow</v>
      </c>
      <c r="W301" s="1" t="str">
        <f t="shared" si="27"/>
        <v>OK</v>
      </c>
    </row>
    <row r="302" spans="1:23">
      <c r="A302" s="1">
        <v>56920</v>
      </c>
      <c r="B302" s="10">
        <v>45800</v>
      </c>
      <c r="C302" s="1">
        <v>10</v>
      </c>
      <c r="D302" s="1" t="s">
        <v>63</v>
      </c>
      <c r="E302" s="1" t="s">
        <v>67</v>
      </c>
      <c r="F302" s="1" t="s">
        <v>73</v>
      </c>
      <c r="G302" s="1" t="s">
        <v>60</v>
      </c>
      <c r="H302" s="1" t="s">
        <v>70</v>
      </c>
      <c r="I302" s="1" t="s">
        <v>107</v>
      </c>
      <c r="J302" s="24">
        <v>13.88</v>
      </c>
      <c r="K302" s="24">
        <v>22.38</v>
      </c>
      <c r="L302" s="28">
        <v>8.4999999999999982</v>
      </c>
      <c r="M302" s="1">
        <v>14</v>
      </c>
      <c r="N302" s="28">
        <v>313.32</v>
      </c>
      <c r="O302" s="29">
        <v>0.09</v>
      </c>
      <c r="P302" s="28">
        <v>28.198799999999999</v>
      </c>
      <c r="Q302" s="28">
        <v>285.12119999999999</v>
      </c>
      <c r="R302" s="1" t="str">
        <f t="shared" si="24"/>
        <v>May</v>
      </c>
      <c r="S302" s="28">
        <f t="shared" si="28"/>
        <v>194.32000000000002</v>
      </c>
      <c r="T302" s="28">
        <f t="shared" si="29"/>
        <v>90.801199999999966</v>
      </c>
      <c r="U302" s="11">
        <f t="shared" si="25"/>
        <v>0.31846527020789744</v>
      </c>
      <c r="V302" s="1" t="str">
        <f t="shared" si="26"/>
        <v>Slow</v>
      </c>
      <c r="W302" s="1" t="str">
        <f t="shared" si="27"/>
        <v>OK</v>
      </c>
    </row>
    <row r="303" spans="1:23">
      <c r="A303" s="1">
        <v>56921</v>
      </c>
      <c r="B303" s="10">
        <v>45800</v>
      </c>
      <c r="C303" s="1">
        <v>8</v>
      </c>
      <c r="D303" s="1" t="s">
        <v>63</v>
      </c>
      <c r="E303" s="1" t="s">
        <v>67</v>
      </c>
      <c r="F303" s="1" t="s">
        <v>59</v>
      </c>
      <c r="G303" s="1" t="s">
        <v>60</v>
      </c>
      <c r="H303" s="1" t="s">
        <v>68</v>
      </c>
      <c r="I303" s="1" t="s">
        <v>153</v>
      </c>
      <c r="J303" s="24">
        <v>7.13</v>
      </c>
      <c r="K303" s="24">
        <v>20.98</v>
      </c>
      <c r="L303" s="28">
        <v>13.85</v>
      </c>
      <c r="M303" s="1">
        <v>42</v>
      </c>
      <c r="N303" s="28">
        <v>881.16</v>
      </c>
      <c r="O303" s="29">
        <v>0.04</v>
      </c>
      <c r="P303" s="28">
        <v>35.246400000000001</v>
      </c>
      <c r="Q303" s="28">
        <v>845.91359999999997</v>
      </c>
      <c r="R303" s="1" t="str">
        <f t="shared" si="24"/>
        <v>May</v>
      </c>
      <c r="S303" s="28">
        <f t="shared" si="28"/>
        <v>299.45999999999998</v>
      </c>
      <c r="T303" s="28">
        <f t="shared" si="29"/>
        <v>546.45360000000005</v>
      </c>
      <c r="U303" s="11">
        <f t="shared" si="25"/>
        <v>0.64599221480775348</v>
      </c>
      <c r="V303" s="1" t="str">
        <f t="shared" si="26"/>
        <v>Slow</v>
      </c>
      <c r="W303" s="1" t="str">
        <f t="shared" si="27"/>
        <v>OK</v>
      </c>
    </row>
    <row r="304" spans="1:23">
      <c r="A304" s="1">
        <v>56922</v>
      </c>
      <c r="B304" s="10">
        <v>45800</v>
      </c>
      <c r="C304" s="1">
        <v>17</v>
      </c>
      <c r="D304" s="1" t="s">
        <v>57</v>
      </c>
      <c r="E304" s="1" t="s">
        <v>87</v>
      </c>
      <c r="F304" s="1" t="s">
        <v>88</v>
      </c>
      <c r="G304" s="1" t="s">
        <v>60</v>
      </c>
      <c r="H304" s="1" t="s">
        <v>65</v>
      </c>
      <c r="I304" s="1" t="s">
        <v>208</v>
      </c>
      <c r="J304" s="24">
        <v>1.46</v>
      </c>
      <c r="K304" s="24">
        <v>3.57</v>
      </c>
      <c r="L304" s="28">
        <v>2.11</v>
      </c>
      <c r="M304" s="1">
        <v>42</v>
      </c>
      <c r="N304" s="28">
        <v>149.94</v>
      </c>
      <c r="O304" s="29">
        <v>0.03</v>
      </c>
      <c r="P304" s="28">
        <v>4.4981999999999998</v>
      </c>
      <c r="Q304" s="28">
        <v>145.4418</v>
      </c>
      <c r="R304" s="1" t="str">
        <f t="shared" si="24"/>
        <v>May</v>
      </c>
      <c r="S304" s="28">
        <f t="shared" si="28"/>
        <v>61.32</v>
      </c>
      <c r="T304" s="28">
        <f t="shared" si="29"/>
        <v>84.121800000000007</v>
      </c>
      <c r="U304" s="11">
        <f t="shared" si="25"/>
        <v>0.57838805625342926</v>
      </c>
      <c r="V304" s="1" t="str">
        <f t="shared" si="26"/>
        <v>Very Slow</v>
      </c>
      <c r="W304" s="1" t="str">
        <f t="shared" si="27"/>
        <v>OK</v>
      </c>
    </row>
    <row r="305" spans="1:23">
      <c r="A305" s="1">
        <v>56923</v>
      </c>
      <c r="B305" s="10">
        <v>45801</v>
      </c>
      <c r="C305" s="1">
        <v>22</v>
      </c>
      <c r="D305" s="1" t="s">
        <v>57</v>
      </c>
      <c r="E305" s="1" t="s">
        <v>72</v>
      </c>
      <c r="F305" s="1" t="s">
        <v>73</v>
      </c>
      <c r="G305" s="1" t="s">
        <v>60</v>
      </c>
      <c r="H305" s="1" t="s">
        <v>70</v>
      </c>
      <c r="I305" s="1" t="s">
        <v>131</v>
      </c>
      <c r="J305" s="24">
        <v>0.24</v>
      </c>
      <c r="K305" s="24">
        <v>1.26</v>
      </c>
      <c r="L305" s="28">
        <v>1.02</v>
      </c>
      <c r="M305" s="1">
        <v>34</v>
      </c>
      <c r="N305" s="28">
        <v>42.84</v>
      </c>
      <c r="O305" s="29">
        <v>0.04</v>
      </c>
      <c r="P305" s="28">
        <v>1.7136</v>
      </c>
      <c r="Q305" s="28">
        <v>41.126399999999997</v>
      </c>
      <c r="R305" s="1" t="str">
        <f t="shared" si="24"/>
        <v>May</v>
      </c>
      <c r="S305" s="28">
        <f t="shared" si="28"/>
        <v>8.16</v>
      </c>
      <c r="T305" s="28">
        <f t="shared" si="29"/>
        <v>32.966399999999993</v>
      </c>
      <c r="U305" s="11">
        <f t="shared" si="25"/>
        <v>0.80158730158730152</v>
      </c>
      <c r="V305" s="1" t="str">
        <f t="shared" si="26"/>
        <v>Very Slow</v>
      </c>
      <c r="W305" s="1" t="str">
        <f t="shared" si="27"/>
        <v>OK</v>
      </c>
    </row>
    <row r="306" spans="1:23">
      <c r="A306" s="1">
        <v>56924</v>
      </c>
      <c r="B306" s="10">
        <v>45801</v>
      </c>
      <c r="C306" s="1">
        <v>11</v>
      </c>
      <c r="D306" s="1" t="s">
        <v>57</v>
      </c>
      <c r="E306" s="1" t="s">
        <v>72</v>
      </c>
      <c r="F306" s="1" t="s">
        <v>79</v>
      </c>
      <c r="G306" s="1" t="s">
        <v>81</v>
      </c>
      <c r="H306" s="1" t="s">
        <v>68</v>
      </c>
      <c r="I306" s="1" t="s">
        <v>206</v>
      </c>
      <c r="J306" s="24">
        <v>75</v>
      </c>
      <c r="K306" s="24">
        <v>120.97</v>
      </c>
      <c r="L306" s="28">
        <v>45.97</v>
      </c>
      <c r="M306" s="1">
        <v>44</v>
      </c>
      <c r="N306" s="28">
        <v>5322.68</v>
      </c>
      <c r="O306" s="29">
        <v>0.09</v>
      </c>
      <c r="P306" s="28">
        <v>479.0412</v>
      </c>
      <c r="Q306" s="28">
        <v>4843.6388000000006</v>
      </c>
      <c r="R306" s="1" t="str">
        <f t="shared" si="24"/>
        <v>May</v>
      </c>
      <c r="S306" s="28">
        <f t="shared" si="28"/>
        <v>3300</v>
      </c>
      <c r="T306" s="28">
        <f t="shared" si="29"/>
        <v>1543.6388000000006</v>
      </c>
      <c r="U306" s="11">
        <f t="shared" si="25"/>
        <v>0.31869403639263943</v>
      </c>
      <c r="V306" s="1" t="str">
        <f t="shared" si="26"/>
        <v>Slow</v>
      </c>
      <c r="W306" s="1" t="str">
        <f t="shared" si="27"/>
        <v>OK</v>
      </c>
    </row>
    <row r="307" spans="1:23">
      <c r="A307" s="1">
        <v>56925</v>
      </c>
      <c r="B307" s="10">
        <v>45801</v>
      </c>
      <c r="C307" s="1">
        <v>14</v>
      </c>
      <c r="D307" s="1" t="s">
        <v>57</v>
      </c>
      <c r="E307" s="1" t="s">
        <v>72</v>
      </c>
      <c r="F307" s="1" t="s">
        <v>59</v>
      </c>
      <c r="G307" s="1" t="s">
        <v>60</v>
      </c>
      <c r="H307" s="1" t="s">
        <v>90</v>
      </c>
      <c r="I307" s="1" t="s">
        <v>114</v>
      </c>
      <c r="J307" s="24">
        <v>2.59</v>
      </c>
      <c r="K307" s="24">
        <v>3.98</v>
      </c>
      <c r="L307" s="28">
        <v>1.39</v>
      </c>
      <c r="M307" s="1">
        <v>2</v>
      </c>
      <c r="N307" s="28">
        <v>7.96</v>
      </c>
      <c r="O307" s="29">
        <v>0.04</v>
      </c>
      <c r="P307" s="28">
        <v>0.31840000000000002</v>
      </c>
      <c r="Q307" s="28">
        <v>7.6416000000000004</v>
      </c>
      <c r="R307" s="1" t="str">
        <f t="shared" si="24"/>
        <v>May</v>
      </c>
      <c r="S307" s="28">
        <f t="shared" si="28"/>
        <v>5.18</v>
      </c>
      <c r="T307" s="28">
        <f t="shared" si="29"/>
        <v>2.4616000000000007</v>
      </c>
      <c r="U307" s="11">
        <f t="shared" si="25"/>
        <v>0.32213149078726977</v>
      </c>
      <c r="V307" s="1" t="str">
        <f t="shared" si="26"/>
        <v>Slow</v>
      </c>
      <c r="W307" s="1" t="str">
        <f t="shared" si="27"/>
        <v>OK</v>
      </c>
    </row>
    <row r="308" spans="1:23">
      <c r="A308" s="1">
        <v>56926</v>
      </c>
      <c r="B308" s="10">
        <v>45801</v>
      </c>
      <c r="C308" s="1">
        <v>18</v>
      </c>
      <c r="D308" s="1" t="s">
        <v>57</v>
      </c>
      <c r="E308" s="1" t="s">
        <v>87</v>
      </c>
      <c r="F308" s="1" t="s">
        <v>83</v>
      </c>
      <c r="G308" s="1" t="s">
        <v>60</v>
      </c>
      <c r="H308" s="1" t="s">
        <v>68</v>
      </c>
      <c r="I308" s="1" t="s">
        <v>209</v>
      </c>
      <c r="J308" s="24">
        <v>2.13</v>
      </c>
      <c r="K308" s="24">
        <v>3.49</v>
      </c>
      <c r="L308" s="28">
        <v>1.36</v>
      </c>
      <c r="M308" s="1">
        <v>41</v>
      </c>
      <c r="N308" s="28">
        <v>143.09</v>
      </c>
      <c r="O308" s="29">
        <v>0.01</v>
      </c>
      <c r="P308" s="28">
        <v>1.4309000000000001</v>
      </c>
      <c r="Q308" s="28">
        <v>141.6591</v>
      </c>
      <c r="R308" s="1" t="str">
        <f t="shared" si="24"/>
        <v>May</v>
      </c>
      <c r="S308" s="28">
        <f t="shared" si="28"/>
        <v>87.33</v>
      </c>
      <c r="T308" s="28">
        <f t="shared" si="29"/>
        <v>54.329099999999997</v>
      </c>
      <c r="U308" s="11">
        <f t="shared" si="25"/>
        <v>0.38352001389250673</v>
      </c>
      <c r="V308" s="1" t="str">
        <f t="shared" si="26"/>
        <v>Very Slow</v>
      </c>
      <c r="W308" s="1" t="str">
        <f t="shared" si="27"/>
        <v>OK</v>
      </c>
    </row>
    <row r="309" spans="1:23">
      <c r="A309" s="1">
        <v>56927</v>
      </c>
      <c r="B309" s="10">
        <v>45802</v>
      </c>
      <c r="C309" s="1">
        <v>10</v>
      </c>
      <c r="D309" s="1" t="s">
        <v>63</v>
      </c>
      <c r="E309" s="1" t="s">
        <v>58</v>
      </c>
      <c r="F309" s="1" t="s">
        <v>64</v>
      </c>
      <c r="G309" s="1" t="s">
        <v>60</v>
      </c>
      <c r="H309" s="1" t="s">
        <v>61</v>
      </c>
      <c r="I309" s="1" t="s">
        <v>176</v>
      </c>
      <c r="J309" s="24">
        <v>3.84</v>
      </c>
      <c r="K309" s="24">
        <v>6.3</v>
      </c>
      <c r="L309" s="28">
        <v>2.46</v>
      </c>
      <c r="M309" s="1">
        <v>19</v>
      </c>
      <c r="N309" s="28">
        <v>119.7</v>
      </c>
      <c r="O309" s="29">
        <v>0.1</v>
      </c>
      <c r="P309" s="28">
        <v>11.97</v>
      </c>
      <c r="Q309" s="28">
        <v>107.73</v>
      </c>
      <c r="R309" s="1" t="str">
        <f t="shared" si="24"/>
        <v>May</v>
      </c>
      <c r="S309" s="28">
        <f t="shared" si="28"/>
        <v>72.959999999999994</v>
      </c>
      <c r="T309" s="28">
        <f t="shared" si="29"/>
        <v>34.77000000000001</v>
      </c>
      <c r="U309" s="11">
        <f t="shared" si="25"/>
        <v>0.32275132275132284</v>
      </c>
      <c r="V309" s="1" t="str">
        <f t="shared" si="26"/>
        <v>Slow</v>
      </c>
      <c r="W309" s="1" t="str">
        <f t="shared" si="27"/>
        <v>OK</v>
      </c>
    </row>
    <row r="310" spans="1:23">
      <c r="A310" s="1">
        <v>56928</v>
      </c>
      <c r="B310" s="10">
        <v>45803</v>
      </c>
      <c r="C310" s="1">
        <v>21</v>
      </c>
      <c r="D310" s="1" t="s">
        <v>78</v>
      </c>
      <c r="E310" s="1" t="s">
        <v>72</v>
      </c>
      <c r="F310" s="1" t="s">
        <v>75</v>
      </c>
      <c r="G310" s="1" t="s">
        <v>60</v>
      </c>
      <c r="H310" s="1" t="s">
        <v>70</v>
      </c>
      <c r="I310" s="1" t="s">
        <v>158</v>
      </c>
      <c r="J310" s="24">
        <v>4.0999999999999996</v>
      </c>
      <c r="K310" s="24">
        <v>9.31</v>
      </c>
      <c r="L310" s="28">
        <v>5.2100000000000009</v>
      </c>
      <c r="M310" s="1">
        <v>34</v>
      </c>
      <c r="N310" s="28">
        <v>316.54000000000002</v>
      </c>
      <c r="O310" s="29">
        <v>0.05</v>
      </c>
      <c r="P310" s="28">
        <v>15.827</v>
      </c>
      <c r="Q310" s="28">
        <v>300.71300000000002</v>
      </c>
      <c r="R310" s="1" t="str">
        <f t="shared" si="24"/>
        <v>May</v>
      </c>
      <c r="S310" s="28">
        <f t="shared" si="28"/>
        <v>139.39999999999998</v>
      </c>
      <c r="T310" s="28">
        <f t="shared" si="29"/>
        <v>161.31300000000005</v>
      </c>
      <c r="U310" s="11">
        <f t="shared" si="25"/>
        <v>0.53643507264401613</v>
      </c>
      <c r="V310" s="1" t="str">
        <f t="shared" si="26"/>
        <v>Very Slow</v>
      </c>
      <c r="W310" s="1" t="str">
        <f t="shared" si="27"/>
        <v>OK</v>
      </c>
    </row>
    <row r="311" spans="1:23">
      <c r="A311" s="1">
        <v>56929</v>
      </c>
      <c r="B311" s="10">
        <v>45804</v>
      </c>
      <c r="C311" s="1">
        <v>12</v>
      </c>
      <c r="D311" s="1" t="s">
        <v>78</v>
      </c>
      <c r="E311" s="1" t="s">
        <v>67</v>
      </c>
      <c r="F311" s="1" t="s">
        <v>75</v>
      </c>
      <c r="G311" s="1" t="s">
        <v>60</v>
      </c>
      <c r="H311" s="1" t="s">
        <v>61</v>
      </c>
      <c r="I311" s="1" t="s">
        <v>106</v>
      </c>
      <c r="J311" s="24">
        <v>1.53</v>
      </c>
      <c r="K311" s="24">
        <v>2.78</v>
      </c>
      <c r="L311" s="28">
        <v>1.25</v>
      </c>
      <c r="M311" s="1">
        <v>10</v>
      </c>
      <c r="N311" s="28">
        <v>27.8</v>
      </c>
      <c r="O311" s="29">
        <v>0.01</v>
      </c>
      <c r="P311" s="28">
        <v>0.27800000000000002</v>
      </c>
      <c r="Q311" s="28">
        <v>27.521999999999998</v>
      </c>
      <c r="R311" s="1" t="str">
        <f t="shared" si="24"/>
        <v>May</v>
      </c>
      <c r="S311" s="28">
        <f t="shared" si="28"/>
        <v>15.3</v>
      </c>
      <c r="T311" s="28">
        <f t="shared" si="29"/>
        <v>12.221999999999998</v>
      </c>
      <c r="U311" s="11">
        <f t="shared" si="25"/>
        <v>0.44408109875735768</v>
      </c>
      <c r="V311" s="1" t="str">
        <f t="shared" si="26"/>
        <v>Slow</v>
      </c>
      <c r="W311" s="1" t="str">
        <f t="shared" si="27"/>
        <v>OK</v>
      </c>
    </row>
    <row r="312" spans="1:23">
      <c r="A312" s="1">
        <v>56930</v>
      </c>
      <c r="B312" s="10">
        <v>45804</v>
      </c>
      <c r="C312" s="1">
        <v>11</v>
      </c>
      <c r="D312" s="1" t="s">
        <v>57</v>
      </c>
      <c r="E312" s="1" t="s">
        <v>72</v>
      </c>
      <c r="F312" s="1" t="s">
        <v>88</v>
      </c>
      <c r="G312" s="1" t="s">
        <v>60</v>
      </c>
      <c r="H312" s="1" t="s">
        <v>70</v>
      </c>
      <c r="I312" s="1" t="s">
        <v>210</v>
      </c>
      <c r="J312" s="24">
        <v>1.05</v>
      </c>
      <c r="K312" s="24">
        <v>1.95</v>
      </c>
      <c r="L312" s="28">
        <v>0.89999999999999991</v>
      </c>
      <c r="M312" s="1">
        <v>28</v>
      </c>
      <c r="N312" s="28">
        <v>54.6</v>
      </c>
      <c r="O312" s="29">
        <v>0.02</v>
      </c>
      <c r="P312" s="28">
        <v>1.0920000000000001</v>
      </c>
      <c r="Q312" s="28">
        <v>53.508000000000003</v>
      </c>
      <c r="R312" s="1" t="str">
        <f t="shared" si="24"/>
        <v>May</v>
      </c>
      <c r="S312" s="28">
        <f t="shared" si="28"/>
        <v>29.400000000000002</v>
      </c>
      <c r="T312" s="28">
        <f t="shared" si="29"/>
        <v>24.108000000000001</v>
      </c>
      <c r="U312" s="11">
        <f t="shared" si="25"/>
        <v>0.45054945054945056</v>
      </c>
      <c r="V312" s="1" t="str">
        <f t="shared" si="26"/>
        <v>Slow</v>
      </c>
      <c r="W312" s="1" t="str">
        <f t="shared" si="27"/>
        <v>OK</v>
      </c>
    </row>
    <row r="313" spans="1:23">
      <c r="A313" s="1">
        <v>56931</v>
      </c>
      <c r="B313" s="10">
        <v>45805</v>
      </c>
      <c r="C313" s="1">
        <v>18</v>
      </c>
      <c r="D313" s="1" t="s">
        <v>57</v>
      </c>
      <c r="E313" s="1" t="s">
        <v>58</v>
      </c>
      <c r="F313" s="1" t="s">
        <v>83</v>
      </c>
      <c r="G313" s="1" t="s">
        <v>60</v>
      </c>
      <c r="H313" s="1" t="s">
        <v>65</v>
      </c>
      <c r="I313" s="1" t="s">
        <v>69</v>
      </c>
      <c r="J313" s="24">
        <v>3.37</v>
      </c>
      <c r="K313" s="24">
        <v>5.53</v>
      </c>
      <c r="L313" s="28">
        <v>2.16</v>
      </c>
      <c r="M313" s="1">
        <v>10</v>
      </c>
      <c r="N313" s="28">
        <v>55.3</v>
      </c>
      <c r="O313" s="29">
        <v>0.09</v>
      </c>
      <c r="P313" s="28">
        <v>4.9770000000000003</v>
      </c>
      <c r="Q313" s="28">
        <v>50.323000000000008</v>
      </c>
      <c r="R313" s="1" t="str">
        <f t="shared" si="24"/>
        <v>May</v>
      </c>
      <c r="S313" s="28">
        <f t="shared" si="28"/>
        <v>33.700000000000003</v>
      </c>
      <c r="T313" s="28">
        <f t="shared" si="29"/>
        <v>16.623000000000005</v>
      </c>
      <c r="U313" s="11">
        <f t="shared" si="25"/>
        <v>0.3303260934364009</v>
      </c>
      <c r="V313" s="1" t="str">
        <f t="shared" si="26"/>
        <v>Very Slow</v>
      </c>
      <c r="W313" s="1" t="str">
        <f t="shared" si="27"/>
        <v>OK</v>
      </c>
    </row>
    <row r="314" spans="1:23">
      <c r="A314" s="1">
        <v>56932</v>
      </c>
      <c r="B314" s="10">
        <v>45805</v>
      </c>
      <c r="C314" s="1">
        <v>6</v>
      </c>
      <c r="D314" s="1" t="s">
        <v>78</v>
      </c>
      <c r="E314" s="1" t="s">
        <v>58</v>
      </c>
      <c r="F314" s="1" t="s">
        <v>75</v>
      </c>
      <c r="G314" s="1" t="s">
        <v>60</v>
      </c>
      <c r="H314" s="1" t="s">
        <v>61</v>
      </c>
      <c r="I314" s="1" t="s">
        <v>181</v>
      </c>
      <c r="J314" s="24">
        <v>3.48</v>
      </c>
      <c r="K314" s="24">
        <v>5.43</v>
      </c>
      <c r="L314" s="28">
        <v>1.95</v>
      </c>
      <c r="M314" s="1">
        <v>13</v>
      </c>
      <c r="N314" s="28">
        <v>70.59</v>
      </c>
      <c r="O314" s="29">
        <v>0.02</v>
      </c>
      <c r="P314" s="28">
        <v>1.4117999999999999</v>
      </c>
      <c r="Q314" s="28">
        <v>69.178200000000004</v>
      </c>
      <c r="R314" s="1" t="str">
        <f t="shared" si="24"/>
        <v>May</v>
      </c>
      <c r="S314" s="28">
        <f t="shared" si="28"/>
        <v>45.24</v>
      </c>
      <c r="T314" s="28">
        <f t="shared" si="29"/>
        <v>23.938200000000002</v>
      </c>
      <c r="U314" s="11">
        <f t="shared" si="25"/>
        <v>0.34603675724433419</v>
      </c>
      <c r="V314" s="1" t="str">
        <f t="shared" si="26"/>
        <v>Standard</v>
      </c>
      <c r="W314" s="1" t="str">
        <f t="shared" si="27"/>
        <v>OK</v>
      </c>
    </row>
    <row r="315" spans="1:23">
      <c r="A315" s="1">
        <v>56933</v>
      </c>
      <c r="B315" s="10">
        <v>45805</v>
      </c>
      <c r="C315" s="1">
        <v>18</v>
      </c>
      <c r="D315" s="1" t="s">
        <v>57</v>
      </c>
      <c r="E315" s="1" t="s">
        <v>72</v>
      </c>
      <c r="F315" s="1" t="s">
        <v>59</v>
      </c>
      <c r="G315" s="1" t="s">
        <v>60</v>
      </c>
      <c r="H315" s="1" t="s">
        <v>65</v>
      </c>
      <c r="I315" s="1" t="s">
        <v>131</v>
      </c>
      <c r="J315" s="24">
        <v>0.24</v>
      </c>
      <c r="K315" s="24">
        <v>1.26</v>
      </c>
      <c r="L315" s="28">
        <v>1.02</v>
      </c>
      <c r="M315" s="1">
        <v>33</v>
      </c>
      <c r="N315" s="28">
        <v>41.58</v>
      </c>
      <c r="O315" s="29">
        <v>0.09</v>
      </c>
      <c r="P315" s="28">
        <v>3.7422</v>
      </c>
      <c r="Q315" s="28">
        <v>37.837800000000001</v>
      </c>
      <c r="R315" s="1" t="str">
        <f t="shared" si="24"/>
        <v>May</v>
      </c>
      <c r="S315" s="28">
        <f t="shared" si="28"/>
        <v>7.92</v>
      </c>
      <c r="T315" s="28">
        <f t="shared" si="29"/>
        <v>29.9178</v>
      </c>
      <c r="U315" s="11">
        <f t="shared" si="25"/>
        <v>0.79068550497121926</v>
      </c>
      <c r="V315" s="1" t="str">
        <f t="shared" si="26"/>
        <v>Very Slow</v>
      </c>
      <c r="W315" s="1" t="str">
        <f t="shared" si="27"/>
        <v>OK</v>
      </c>
    </row>
    <row r="316" spans="1:23">
      <c r="A316" s="1">
        <v>56934</v>
      </c>
      <c r="B316" s="10">
        <v>45805</v>
      </c>
      <c r="C316" s="1">
        <v>3</v>
      </c>
      <c r="D316" s="1" t="s">
        <v>57</v>
      </c>
      <c r="E316" s="1" t="s">
        <v>72</v>
      </c>
      <c r="F316" s="1" t="s">
        <v>108</v>
      </c>
      <c r="G316" s="1" t="s">
        <v>81</v>
      </c>
      <c r="H316" s="1" t="s">
        <v>61</v>
      </c>
      <c r="I316" s="1" t="s">
        <v>172</v>
      </c>
      <c r="J316" s="24">
        <v>315.61</v>
      </c>
      <c r="K316" s="24">
        <v>500.97</v>
      </c>
      <c r="L316" s="28">
        <v>185.36</v>
      </c>
      <c r="M316" s="1">
        <v>36</v>
      </c>
      <c r="N316" s="28">
        <v>18034.919999999998</v>
      </c>
      <c r="O316" s="29">
        <v>0.06</v>
      </c>
      <c r="P316" s="28">
        <v>1082.0952</v>
      </c>
      <c r="Q316" s="28">
        <v>16952.824799999999</v>
      </c>
      <c r="R316" s="1" t="str">
        <f t="shared" si="24"/>
        <v>May</v>
      </c>
      <c r="S316" s="28">
        <f t="shared" si="28"/>
        <v>11361.960000000001</v>
      </c>
      <c r="T316" s="28">
        <f t="shared" si="29"/>
        <v>5590.8647999999976</v>
      </c>
      <c r="U316" s="11">
        <f t="shared" si="25"/>
        <v>0.32978956993645081</v>
      </c>
      <c r="V316" s="1" t="str">
        <f t="shared" si="26"/>
        <v>Fast</v>
      </c>
      <c r="W316" s="1" t="str">
        <f t="shared" si="27"/>
        <v>OK</v>
      </c>
    </row>
    <row r="317" spans="1:23">
      <c r="A317" s="1">
        <v>56935</v>
      </c>
      <c r="B317" s="10">
        <v>45805</v>
      </c>
      <c r="C317" s="1">
        <v>1</v>
      </c>
      <c r="D317" s="1" t="s">
        <v>78</v>
      </c>
      <c r="E317" s="1" t="s">
        <v>72</v>
      </c>
      <c r="F317" s="1" t="s">
        <v>73</v>
      </c>
      <c r="G317" s="1" t="s">
        <v>81</v>
      </c>
      <c r="H317" s="1" t="s">
        <v>68</v>
      </c>
      <c r="I317" s="1" t="s">
        <v>147</v>
      </c>
      <c r="J317" s="24">
        <v>377.99</v>
      </c>
      <c r="K317" s="24">
        <v>599.99</v>
      </c>
      <c r="L317" s="28">
        <v>222</v>
      </c>
      <c r="M317" s="1">
        <v>25</v>
      </c>
      <c r="N317" s="28">
        <v>14999.75</v>
      </c>
      <c r="O317" s="29">
        <v>0.09</v>
      </c>
      <c r="P317" s="28">
        <v>1349.9775</v>
      </c>
      <c r="Q317" s="28">
        <v>13649.772499999999</v>
      </c>
      <c r="R317" s="1" t="str">
        <f t="shared" si="24"/>
        <v>May</v>
      </c>
      <c r="S317" s="28">
        <f t="shared" si="28"/>
        <v>9449.75</v>
      </c>
      <c r="T317" s="28">
        <f t="shared" si="29"/>
        <v>4200.0224999999991</v>
      </c>
      <c r="U317" s="11">
        <f t="shared" si="25"/>
        <v>0.3076990843620287</v>
      </c>
      <c r="V317" s="1" t="str">
        <f t="shared" si="26"/>
        <v>Fast</v>
      </c>
      <c r="W317" s="1" t="str">
        <f t="shared" si="27"/>
        <v>OK</v>
      </c>
    </row>
    <row r="318" spans="1:23">
      <c r="A318" s="1">
        <v>56936</v>
      </c>
      <c r="B318" s="10">
        <v>45807</v>
      </c>
      <c r="C318" s="1">
        <v>1</v>
      </c>
      <c r="D318" s="1" t="s">
        <v>57</v>
      </c>
      <c r="E318" s="1" t="s">
        <v>58</v>
      </c>
      <c r="F318" s="1" t="s">
        <v>98</v>
      </c>
      <c r="G318" s="1" t="s">
        <v>60</v>
      </c>
      <c r="H318" s="1" t="s">
        <v>90</v>
      </c>
      <c r="I318" s="1" t="s">
        <v>211</v>
      </c>
      <c r="J318" s="24">
        <v>3.53</v>
      </c>
      <c r="K318" s="24">
        <v>8.6199999999999992</v>
      </c>
      <c r="L318" s="28">
        <v>5.09</v>
      </c>
      <c r="M318" s="1">
        <v>59</v>
      </c>
      <c r="N318" s="28">
        <v>508.57999999999993</v>
      </c>
      <c r="O318" s="29">
        <v>7.0000000000000007E-2</v>
      </c>
      <c r="P318" s="28">
        <v>35.6006</v>
      </c>
      <c r="Q318" s="28">
        <v>472.97939999999988</v>
      </c>
      <c r="R318" s="1" t="str">
        <f t="shared" si="24"/>
        <v>May</v>
      </c>
      <c r="S318" s="28">
        <f t="shared" si="28"/>
        <v>208.26999999999998</v>
      </c>
      <c r="T318" s="28">
        <f t="shared" si="29"/>
        <v>264.7093999999999</v>
      </c>
      <c r="U318" s="11">
        <f t="shared" si="25"/>
        <v>0.55966369782700887</v>
      </c>
      <c r="V318" s="1" t="str">
        <f t="shared" si="26"/>
        <v>Fast</v>
      </c>
      <c r="W318" s="1" t="str">
        <f t="shared" si="27"/>
        <v>OK</v>
      </c>
    </row>
    <row r="319" spans="1:23">
      <c r="A319" s="1">
        <v>56937</v>
      </c>
      <c r="B319" s="10">
        <v>45807</v>
      </c>
      <c r="C319" s="1">
        <v>13</v>
      </c>
      <c r="D319" s="1" t="s">
        <v>78</v>
      </c>
      <c r="E319" s="1" t="s">
        <v>87</v>
      </c>
      <c r="F319" s="1" t="s">
        <v>18</v>
      </c>
      <c r="G319" s="1" t="s">
        <v>81</v>
      </c>
      <c r="H319" s="1" t="s">
        <v>65</v>
      </c>
      <c r="I319" s="1" t="s">
        <v>139</v>
      </c>
      <c r="J319" s="24">
        <v>6.39</v>
      </c>
      <c r="K319" s="24">
        <v>19.98</v>
      </c>
      <c r="L319" s="28">
        <v>13.59</v>
      </c>
      <c r="M319" s="1">
        <v>31</v>
      </c>
      <c r="N319" s="28">
        <v>619.38</v>
      </c>
      <c r="O319" s="29">
        <v>0.1</v>
      </c>
      <c r="P319" s="28">
        <v>61.938000000000002</v>
      </c>
      <c r="Q319" s="28">
        <v>557.44200000000001</v>
      </c>
      <c r="R319" s="1" t="str">
        <f t="shared" si="24"/>
        <v>May</v>
      </c>
      <c r="S319" s="28">
        <f t="shared" si="28"/>
        <v>198.09</v>
      </c>
      <c r="T319" s="28">
        <f t="shared" si="29"/>
        <v>359.35199999999998</v>
      </c>
      <c r="U319" s="11">
        <f t="shared" si="25"/>
        <v>0.64464464464464455</v>
      </c>
      <c r="V319" s="1" t="str">
        <f t="shared" si="26"/>
        <v>Slow</v>
      </c>
      <c r="W319" s="1" t="str">
        <f t="shared" si="27"/>
        <v>OK</v>
      </c>
    </row>
    <row r="320" spans="1:23">
      <c r="A320" s="1">
        <v>56938</v>
      </c>
      <c r="B320" s="10">
        <v>45807</v>
      </c>
      <c r="C320" s="1">
        <v>6</v>
      </c>
      <c r="D320" s="1" t="s">
        <v>63</v>
      </c>
      <c r="E320" s="1" t="s">
        <v>72</v>
      </c>
      <c r="F320" s="1" t="s">
        <v>88</v>
      </c>
      <c r="G320" s="1" t="s">
        <v>60</v>
      </c>
      <c r="H320" s="1" t="s">
        <v>65</v>
      </c>
      <c r="I320" s="1" t="s">
        <v>106</v>
      </c>
      <c r="J320" s="24">
        <v>1.53</v>
      </c>
      <c r="K320" s="24">
        <v>2.78</v>
      </c>
      <c r="L320" s="28">
        <v>1.25</v>
      </c>
      <c r="M320" s="1">
        <v>16</v>
      </c>
      <c r="N320" s="28">
        <v>44.48</v>
      </c>
      <c r="O320" s="29">
        <v>0.06</v>
      </c>
      <c r="P320" s="28">
        <v>2.6688000000000001</v>
      </c>
      <c r="Q320" s="28">
        <v>41.811199999999999</v>
      </c>
      <c r="R320" s="1" t="str">
        <f t="shared" si="24"/>
        <v>May</v>
      </c>
      <c r="S320" s="28">
        <f t="shared" si="28"/>
        <v>24.48</v>
      </c>
      <c r="T320" s="28">
        <f t="shared" si="29"/>
        <v>17.331199999999999</v>
      </c>
      <c r="U320" s="11">
        <f t="shared" si="25"/>
        <v>0.41451094443594061</v>
      </c>
      <c r="V320" s="1" t="str">
        <f t="shared" si="26"/>
        <v>Standard</v>
      </c>
      <c r="W320" s="1" t="str">
        <f t="shared" si="27"/>
        <v>OK</v>
      </c>
    </row>
    <row r="321" spans="1:23">
      <c r="A321" s="1">
        <v>56939</v>
      </c>
      <c r="B321" s="10">
        <v>45808</v>
      </c>
      <c r="C321" s="1">
        <v>9</v>
      </c>
      <c r="D321" s="1" t="s">
        <v>57</v>
      </c>
      <c r="E321" s="1" t="s">
        <v>58</v>
      </c>
      <c r="F321" s="1" t="s">
        <v>98</v>
      </c>
      <c r="G321" s="1" t="s">
        <v>81</v>
      </c>
      <c r="H321" s="1" t="s">
        <v>68</v>
      </c>
      <c r="I321" s="1" t="s">
        <v>113</v>
      </c>
      <c r="J321" s="24">
        <v>10.07</v>
      </c>
      <c r="K321" s="24">
        <v>15.98</v>
      </c>
      <c r="L321" s="28">
        <v>5.91</v>
      </c>
      <c r="M321" s="1">
        <v>36</v>
      </c>
      <c r="N321" s="28">
        <v>575.28</v>
      </c>
      <c r="O321" s="29">
        <v>0.01</v>
      </c>
      <c r="P321" s="28">
        <v>5.7527999999999997</v>
      </c>
      <c r="Q321" s="28">
        <v>569.52719999999999</v>
      </c>
      <c r="R321" s="1" t="str">
        <f t="shared" si="24"/>
        <v>May</v>
      </c>
      <c r="S321" s="28">
        <f t="shared" si="28"/>
        <v>362.52</v>
      </c>
      <c r="T321" s="28">
        <f t="shared" si="29"/>
        <v>207.00720000000001</v>
      </c>
      <c r="U321" s="11">
        <f t="shared" si="25"/>
        <v>0.36347201678866264</v>
      </c>
      <c r="V321" s="1" t="str">
        <f t="shared" si="26"/>
        <v>Slow</v>
      </c>
      <c r="W321" s="1" t="str">
        <f t="shared" si="27"/>
        <v>OK</v>
      </c>
    </row>
    <row r="322" spans="1:23">
      <c r="A322" s="1">
        <v>56940</v>
      </c>
      <c r="B322" s="10">
        <v>45809</v>
      </c>
      <c r="C322" s="1">
        <v>9</v>
      </c>
      <c r="D322" s="1" t="s">
        <v>63</v>
      </c>
      <c r="E322" s="1" t="s">
        <v>72</v>
      </c>
      <c r="F322" s="1" t="s">
        <v>108</v>
      </c>
      <c r="G322" s="1" t="s">
        <v>60</v>
      </c>
      <c r="H322" s="1" t="s">
        <v>61</v>
      </c>
      <c r="I322" s="1" t="s">
        <v>200</v>
      </c>
      <c r="J322" s="24">
        <v>3.99</v>
      </c>
      <c r="K322" s="24">
        <v>6.23</v>
      </c>
      <c r="L322" s="28">
        <v>2.2400000000000002</v>
      </c>
      <c r="M322" s="1">
        <v>18</v>
      </c>
      <c r="N322" s="28">
        <v>112.14</v>
      </c>
      <c r="O322" s="29">
        <v>0.05</v>
      </c>
      <c r="P322" s="28">
        <v>5.6070000000000011</v>
      </c>
      <c r="Q322" s="28">
        <v>106.533</v>
      </c>
      <c r="R322" s="1" t="str">
        <f t="shared" si="24"/>
        <v>Jun</v>
      </c>
      <c r="S322" s="28">
        <f t="shared" si="28"/>
        <v>71.820000000000007</v>
      </c>
      <c r="T322" s="28">
        <f t="shared" si="29"/>
        <v>34.712999999999994</v>
      </c>
      <c r="U322" s="11">
        <f t="shared" si="25"/>
        <v>0.32584269662921345</v>
      </c>
      <c r="V322" s="1" t="str">
        <f t="shared" si="26"/>
        <v>Slow</v>
      </c>
      <c r="W322" s="1" t="str">
        <f t="shared" si="27"/>
        <v>OK</v>
      </c>
    </row>
    <row r="323" spans="1:23">
      <c r="A323" s="1">
        <v>56941</v>
      </c>
      <c r="B323" s="10">
        <v>45809</v>
      </c>
      <c r="C323" s="1">
        <v>18</v>
      </c>
      <c r="D323" s="1" t="s">
        <v>63</v>
      </c>
      <c r="E323" s="1" t="s">
        <v>67</v>
      </c>
      <c r="F323" s="1" t="s">
        <v>59</v>
      </c>
      <c r="G323" s="1" t="s">
        <v>60</v>
      </c>
      <c r="H323" s="1" t="s">
        <v>65</v>
      </c>
      <c r="I323" s="1" t="s">
        <v>145</v>
      </c>
      <c r="J323" s="24">
        <v>0.92</v>
      </c>
      <c r="K323" s="24">
        <v>1.81</v>
      </c>
      <c r="L323" s="28">
        <v>0.89</v>
      </c>
      <c r="M323" s="1">
        <v>20</v>
      </c>
      <c r="N323" s="28">
        <v>36.200000000000003</v>
      </c>
      <c r="O323" s="29">
        <v>0.09</v>
      </c>
      <c r="P323" s="28">
        <v>3.258</v>
      </c>
      <c r="Q323" s="28">
        <v>32.942</v>
      </c>
      <c r="R323" s="1" t="str">
        <f t="shared" si="24"/>
        <v>Jun</v>
      </c>
      <c r="S323" s="28">
        <f t="shared" si="28"/>
        <v>18.400000000000002</v>
      </c>
      <c r="T323" s="28">
        <f t="shared" si="29"/>
        <v>14.541999999999998</v>
      </c>
      <c r="U323" s="11">
        <f t="shared" si="25"/>
        <v>0.44144253536518724</v>
      </c>
      <c r="V323" s="1" t="str">
        <f t="shared" si="26"/>
        <v>Very Slow</v>
      </c>
      <c r="W323" s="1" t="str">
        <f t="shared" si="27"/>
        <v>OK</v>
      </c>
    </row>
    <row r="324" spans="1:23">
      <c r="A324" s="1">
        <v>56942</v>
      </c>
      <c r="B324" s="10">
        <v>45809</v>
      </c>
      <c r="C324" s="1">
        <v>5</v>
      </c>
      <c r="D324" s="1" t="s">
        <v>63</v>
      </c>
      <c r="E324" s="1" t="s">
        <v>72</v>
      </c>
      <c r="F324" s="1" t="s">
        <v>96</v>
      </c>
      <c r="G324" s="1" t="s">
        <v>60</v>
      </c>
      <c r="H324" s="1" t="s">
        <v>90</v>
      </c>
      <c r="I324" s="1" t="s">
        <v>155</v>
      </c>
      <c r="J324" s="24">
        <v>2.39</v>
      </c>
      <c r="K324" s="24">
        <v>4.26</v>
      </c>
      <c r="L324" s="28">
        <v>1.87</v>
      </c>
      <c r="M324" s="1">
        <v>32</v>
      </c>
      <c r="N324" s="28">
        <v>136.32</v>
      </c>
      <c r="O324" s="29">
        <v>0.03</v>
      </c>
      <c r="P324" s="28">
        <v>4.0895999999999999</v>
      </c>
      <c r="Q324" s="28">
        <v>132.2304</v>
      </c>
      <c r="R324" s="1" t="str">
        <f t="shared" si="24"/>
        <v>Jun</v>
      </c>
      <c r="S324" s="28">
        <f t="shared" si="28"/>
        <v>76.48</v>
      </c>
      <c r="T324" s="28">
        <f t="shared" si="29"/>
        <v>55.750399999999999</v>
      </c>
      <c r="U324" s="11">
        <f t="shared" si="25"/>
        <v>0.42161560427859252</v>
      </c>
      <c r="V324" s="1" t="str">
        <f t="shared" si="26"/>
        <v>Standard</v>
      </c>
      <c r="W324" s="1" t="str">
        <f t="shared" si="27"/>
        <v>OK</v>
      </c>
    </row>
    <row r="325" spans="1:23">
      <c r="A325" s="1">
        <v>56943</v>
      </c>
      <c r="B325" s="10">
        <v>45809</v>
      </c>
      <c r="C325" s="1">
        <v>6</v>
      </c>
      <c r="D325" s="1" t="s">
        <v>57</v>
      </c>
      <c r="E325" s="1" t="s">
        <v>87</v>
      </c>
      <c r="F325" s="1" t="s">
        <v>73</v>
      </c>
      <c r="G325" s="1" t="s">
        <v>60</v>
      </c>
      <c r="H325" s="1" t="s">
        <v>68</v>
      </c>
      <c r="I325" s="1" t="s">
        <v>126</v>
      </c>
      <c r="J325" s="24">
        <v>1.0900000000000001</v>
      </c>
      <c r="K325" s="24">
        <v>2.6</v>
      </c>
      <c r="L325" s="28">
        <v>1.51</v>
      </c>
      <c r="M325" s="1">
        <v>2</v>
      </c>
      <c r="N325" s="28">
        <v>5.2</v>
      </c>
      <c r="O325" s="29">
        <v>0.03</v>
      </c>
      <c r="P325" s="28">
        <v>0.156</v>
      </c>
      <c r="Q325" s="28">
        <v>5.0439999999999996</v>
      </c>
      <c r="R325" s="1" t="str">
        <f t="shared" ref="R325:R388" si="30">TEXT(B325,"mmm")</f>
        <v>Jun</v>
      </c>
      <c r="S325" s="28">
        <f t="shared" si="28"/>
        <v>2.1800000000000002</v>
      </c>
      <c r="T325" s="28">
        <f t="shared" si="29"/>
        <v>2.8639999999999994</v>
      </c>
      <c r="U325" s="11">
        <f t="shared" ref="U325:U388" si="31">IF(Q325=0,0,T325/Q325)</f>
        <v>0.56780333068992861</v>
      </c>
      <c r="V325" s="1" t="str">
        <f t="shared" ref="V325:V388" si="32">IF(C325&lt;=3,"Fast",IF(C325&lt;=7,"Standard",IF(C325&lt;=14,"Slow","Very Slow")))</f>
        <v>Standard</v>
      </c>
      <c r="W325" s="1" t="str">
        <f t="shared" ref="W325:W388" si="33">IF(OR(H325="Not Specifiedd",P325&lt;0),"Review","OK")</f>
        <v>OK</v>
      </c>
    </row>
    <row r="326" spans="1:23">
      <c r="A326" s="1">
        <v>56944</v>
      </c>
      <c r="B326" s="10">
        <v>45810</v>
      </c>
      <c r="C326" s="1">
        <v>18</v>
      </c>
      <c r="D326" s="1" t="s">
        <v>57</v>
      </c>
      <c r="E326" s="1" t="s">
        <v>87</v>
      </c>
      <c r="F326" s="1" t="s">
        <v>100</v>
      </c>
      <c r="G326" s="1" t="s">
        <v>60</v>
      </c>
      <c r="H326" s="1" t="s">
        <v>90</v>
      </c>
      <c r="I326" s="1" t="s">
        <v>191</v>
      </c>
      <c r="J326" s="24">
        <v>2.16</v>
      </c>
      <c r="K326" s="24">
        <v>3.85</v>
      </c>
      <c r="L326" s="28">
        <v>1.69</v>
      </c>
      <c r="M326" s="1">
        <v>47</v>
      </c>
      <c r="N326" s="28">
        <v>180.95</v>
      </c>
      <c r="O326" s="29">
        <v>0.01</v>
      </c>
      <c r="P326" s="28">
        <v>1.8095000000000001</v>
      </c>
      <c r="Q326" s="28">
        <v>179.1405</v>
      </c>
      <c r="R326" s="1" t="str">
        <f t="shared" si="30"/>
        <v>Jun</v>
      </c>
      <c r="S326" s="28">
        <f t="shared" ref="S326:S389" si="34">J326*M326</f>
        <v>101.52000000000001</v>
      </c>
      <c r="T326" s="28">
        <f t="shared" ref="T326:T389" si="35">Q326-S326</f>
        <v>77.620499999999993</v>
      </c>
      <c r="U326" s="11">
        <f t="shared" si="31"/>
        <v>0.43329397874852416</v>
      </c>
      <c r="V326" s="1" t="str">
        <f t="shared" si="32"/>
        <v>Very Slow</v>
      </c>
      <c r="W326" s="1" t="str">
        <f t="shared" si="33"/>
        <v>OK</v>
      </c>
    </row>
    <row r="327" spans="1:23">
      <c r="A327" s="1">
        <v>56945</v>
      </c>
      <c r="B327" s="10">
        <v>45811</v>
      </c>
      <c r="C327" s="1">
        <v>17</v>
      </c>
      <c r="D327" s="1" t="s">
        <v>57</v>
      </c>
      <c r="E327" s="1" t="s">
        <v>72</v>
      </c>
      <c r="F327" s="1" t="s">
        <v>59</v>
      </c>
      <c r="G327" s="1" t="s">
        <v>81</v>
      </c>
      <c r="H327" s="1" t="s">
        <v>65</v>
      </c>
      <c r="I327" s="1" t="s">
        <v>110</v>
      </c>
      <c r="J327" s="24">
        <v>278.99</v>
      </c>
      <c r="K327" s="24">
        <v>449.99</v>
      </c>
      <c r="L327" s="28">
        <v>171</v>
      </c>
      <c r="M327" s="1">
        <v>37</v>
      </c>
      <c r="N327" s="28">
        <v>16649.63</v>
      </c>
      <c r="O327" s="29">
        <v>0.06</v>
      </c>
      <c r="P327" s="28">
        <v>998.9778</v>
      </c>
      <c r="Q327" s="28">
        <v>15650.6522</v>
      </c>
      <c r="R327" s="1" t="str">
        <f t="shared" si="30"/>
        <v>Jun</v>
      </c>
      <c r="S327" s="28">
        <f t="shared" si="34"/>
        <v>10322.630000000001</v>
      </c>
      <c r="T327" s="28">
        <f t="shared" si="35"/>
        <v>5328.0221999999994</v>
      </c>
      <c r="U327" s="11">
        <f t="shared" si="31"/>
        <v>0.34043451556606691</v>
      </c>
      <c r="V327" s="1" t="str">
        <f t="shared" si="32"/>
        <v>Very Slow</v>
      </c>
      <c r="W327" s="1" t="str">
        <f t="shared" si="33"/>
        <v>OK</v>
      </c>
    </row>
    <row r="328" spans="1:23">
      <c r="A328" s="1">
        <v>56946</v>
      </c>
      <c r="B328" s="10">
        <v>45813</v>
      </c>
      <c r="C328" s="1">
        <v>11</v>
      </c>
      <c r="D328" s="1" t="s">
        <v>57</v>
      </c>
      <c r="E328" s="1" t="s">
        <v>72</v>
      </c>
      <c r="F328" s="1" t="s">
        <v>75</v>
      </c>
      <c r="G328" s="1" t="s">
        <v>81</v>
      </c>
      <c r="H328" s="1" t="s">
        <v>90</v>
      </c>
      <c r="I328" s="1" t="s">
        <v>212</v>
      </c>
      <c r="J328" s="24">
        <v>6.51</v>
      </c>
      <c r="K328" s="24">
        <v>30.98</v>
      </c>
      <c r="L328" s="28">
        <v>24.47</v>
      </c>
      <c r="M328" s="1">
        <v>30</v>
      </c>
      <c r="N328" s="28">
        <v>929.4</v>
      </c>
      <c r="O328" s="29">
        <v>0</v>
      </c>
      <c r="P328" s="28">
        <v>0</v>
      </c>
      <c r="Q328" s="28">
        <v>929.4</v>
      </c>
      <c r="R328" s="1" t="str">
        <f t="shared" si="30"/>
        <v>Jun</v>
      </c>
      <c r="S328" s="28">
        <f t="shared" si="34"/>
        <v>195.29999999999998</v>
      </c>
      <c r="T328" s="28">
        <f t="shared" si="35"/>
        <v>734.1</v>
      </c>
      <c r="U328" s="11">
        <f t="shared" si="31"/>
        <v>0.78986442866365403</v>
      </c>
      <c r="V328" s="1" t="str">
        <f t="shared" si="32"/>
        <v>Slow</v>
      </c>
      <c r="W328" s="1" t="str">
        <f t="shared" si="33"/>
        <v>OK</v>
      </c>
    </row>
    <row r="329" spans="1:23">
      <c r="A329" s="1">
        <v>56947</v>
      </c>
      <c r="B329" s="10">
        <v>45815</v>
      </c>
      <c r="C329" s="1">
        <v>19</v>
      </c>
      <c r="D329" s="1" t="s">
        <v>57</v>
      </c>
      <c r="E329" s="1" t="s">
        <v>67</v>
      </c>
      <c r="F329" s="1" t="s">
        <v>75</v>
      </c>
      <c r="G329" s="1" t="s">
        <v>60</v>
      </c>
      <c r="H329" s="1" t="s">
        <v>70</v>
      </c>
      <c r="I329" s="1" t="s">
        <v>210</v>
      </c>
      <c r="J329" s="24">
        <v>1.05</v>
      </c>
      <c r="K329" s="24">
        <v>1.95</v>
      </c>
      <c r="L329" s="28">
        <v>0.89999999999999991</v>
      </c>
      <c r="M329" s="1">
        <v>26</v>
      </c>
      <c r="N329" s="28">
        <v>50.7</v>
      </c>
      <c r="O329" s="29">
        <v>0.09</v>
      </c>
      <c r="P329" s="28">
        <v>4.5629999999999997</v>
      </c>
      <c r="Q329" s="28">
        <v>46.136999999999993</v>
      </c>
      <c r="R329" s="1" t="str">
        <f t="shared" si="30"/>
        <v>Jun</v>
      </c>
      <c r="S329" s="28">
        <f t="shared" si="34"/>
        <v>27.3</v>
      </c>
      <c r="T329" s="28">
        <f t="shared" si="35"/>
        <v>18.836999999999993</v>
      </c>
      <c r="U329" s="11">
        <f t="shared" si="31"/>
        <v>0.40828402366863897</v>
      </c>
      <c r="V329" s="1" t="str">
        <f t="shared" si="32"/>
        <v>Very Slow</v>
      </c>
      <c r="W329" s="1" t="str">
        <f t="shared" si="33"/>
        <v>OK</v>
      </c>
    </row>
    <row r="330" spans="1:23">
      <c r="A330" s="1">
        <v>56948</v>
      </c>
      <c r="B330" s="10">
        <v>45815</v>
      </c>
      <c r="C330" s="1">
        <v>2</v>
      </c>
      <c r="D330" s="1" t="s">
        <v>78</v>
      </c>
      <c r="E330" s="1" t="s">
        <v>87</v>
      </c>
      <c r="F330" s="1" t="s">
        <v>64</v>
      </c>
      <c r="G330" s="1" t="s">
        <v>60</v>
      </c>
      <c r="H330" s="1" t="s">
        <v>68</v>
      </c>
      <c r="I330" s="1" t="s">
        <v>69</v>
      </c>
      <c r="J330" s="24">
        <v>3.37</v>
      </c>
      <c r="K330" s="24">
        <v>5.53</v>
      </c>
      <c r="L330" s="28">
        <v>2.16</v>
      </c>
      <c r="M330" s="1">
        <v>34</v>
      </c>
      <c r="N330" s="28">
        <v>188.02</v>
      </c>
      <c r="O330" s="29">
        <v>0.01</v>
      </c>
      <c r="P330" s="28">
        <v>1.8802000000000001</v>
      </c>
      <c r="Q330" s="28">
        <v>186.13980000000001</v>
      </c>
      <c r="R330" s="1" t="str">
        <f t="shared" si="30"/>
        <v>Jun</v>
      </c>
      <c r="S330" s="28">
        <f t="shared" si="34"/>
        <v>114.58</v>
      </c>
      <c r="T330" s="28">
        <f t="shared" si="35"/>
        <v>71.55980000000001</v>
      </c>
      <c r="U330" s="11">
        <f t="shared" si="31"/>
        <v>0.38444115659305539</v>
      </c>
      <c r="V330" s="1" t="str">
        <f t="shared" si="32"/>
        <v>Fast</v>
      </c>
      <c r="W330" s="1" t="str">
        <f t="shared" si="33"/>
        <v>OK</v>
      </c>
    </row>
    <row r="331" spans="1:23">
      <c r="A331" s="1">
        <v>56949</v>
      </c>
      <c r="B331" s="10">
        <v>45815</v>
      </c>
      <c r="C331" s="1">
        <v>22</v>
      </c>
      <c r="D331" s="1" t="s">
        <v>57</v>
      </c>
      <c r="E331" s="1" t="s">
        <v>72</v>
      </c>
      <c r="F331" s="1" t="s">
        <v>59</v>
      </c>
      <c r="G331" s="1" t="s">
        <v>60</v>
      </c>
      <c r="H331" s="1" t="s">
        <v>68</v>
      </c>
      <c r="I331" s="1" t="s">
        <v>69</v>
      </c>
      <c r="J331" s="24">
        <v>3.37</v>
      </c>
      <c r="K331" s="24">
        <v>5.53</v>
      </c>
      <c r="L331" s="28">
        <v>2.16</v>
      </c>
      <c r="M331" s="1">
        <v>24</v>
      </c>
      <c r="N331" s="28">
        <v>132.72</v>
      </c>
      <c r="O331" s="29">
        <v>0.04</v>
      </c>
      <c r="P331" s="28">
        <v>5.3087999999999997</v>
      </c>
      <c r="Q331" s="28">
        <v>127.41119999999999</v>
      </c>
      <c r="R331" s="1" t="str">
        <f t="shared" si="30"/>
        <v>Jun</v>
      </c>
      <c r="S331" s="28">
        <f t="shared" si="34"/>
        <v>80.88</v>
      </c>
      <c r="T331" s="28">
        <f t="shared" si="35"/>
        <v>46.531199999999998</v>
      </c>
      <c r="U331" s="11">
        <f t="shared" si="31"/>
        <v>0.36520494273658832</v>
      </c>
      <c r="V331" s="1" t="str">
        <f t="shared" si="32"/>
        <v>Very Slow</v>
      </c>
      <c r="W331" s="1" t="str">
        <f t="shared" si="33"/>
        <v>OK</v>
      </c>
    </row>
    <row r="332" spans="1:23">
      <c r="A332" s="1">
        <v>56950</v>
      </c>
      <c r="B332" s="10">
        <v>45815</v>
      </c>
      <c r="C332" s="1">
        <v>9</v>
      </c>
      <c r="D332" s="1" t="s">
        <v>57</v>
      </c>
      <c r="E332" s="1" t="s">
        <v>87</v>
      </c>
      <c r="F332" s="1" t="s">
        <v>88</v>
      </c>
      <c r="G332" s="1" t="s">
        <v>60</v>
      </c>
      <c r="H332" s="1" t="s">
        <v>68</v>
      </c>
      <c r="I332" s="1" t="s">
        <v>112</v>
      </c>
      <c r="J332" s="24">
        <v>3.5</v>
      </c>
      <c r="K332" s="24">
        <v>5.74</v>
      </c>
      <c r="L332" s="28">
        <v>2.2400000000000002</v>
      </c>
      <c r="M332" s="1">
        <v>27</v>
      </c>
      <c r="N332" s="28">
        <v>154.97999999999999</v>
      </c>
      <c r="O332" s="29">
        <v>0.06</v>
      </c>
      <c r="P332" s="28">
        <v>9.2988</v>
      </c>
      <c r="Q332" s="28">
        <v>145.68119999999999</v>
      </c>
      <c r="R332" s="1" t="str">
        <f t="shared" si="30"/>
        <v>Jun</v>
      </c>
      <c r="S332" s="28">
        <f t="shared" si="34"/>
        <v>94.5</v>
      </c>
      <c r="T332" s="28">
        <f t="shared" si="35"/>
        <v>51.18119999999999</v>
      </c>
      <c r="U332" s="11">
        <f t="shared" si="31"/>
        <v>0.35132330046704718</v>
      </c>
      <c r="V332" s="1" t="str">
        <f t="shared" si="32"/>
        <v>Slow</v>
      </c>
      <c r="W332" s="1" t="str">
        <f t="shared" si="33"/>
        <v>OK</v>
      </c>
    </row>
    <row r="333" spans="1:23">
      <c r="A333" s="1">
        <v>56951</v>
      </c>
      <c r="B333" s="10">
        <v>45815</v>
      </c>
      <c r="C333" s="1">
        <v>4</v>
      </c>
      <c r="D333" s="1" t="s">
        <v>57</v>
      </c>
      <c r="E333" s="1" t="s">
        <v>67</v>
      </c>
      <c r="F333" s="1" t="s">
        <v>64</v>
      </c>
      <c r="G333" s="1" t="s">
        <v>60</v>
      </c>
      <c r="H333" s="1" t="s">
        <v>90</v>
      </c>
      <c r="I333" s="1" t="s">
        <v>103</v>
      </c>
      <c r="J333" s="24">
        <v>4.59</v>
      </c>
      <c r="K333" s="24">
        <v>7.28</v>
      </c>
      <c r="L333" s="28">
        <v>2.69</v>
      </c>
      <c r="M333" s="1">
        <v>10</v>
      </c>
      <c r="N333" s="28">
        <v>72.8</v>
      </c>
      <c r="O333" s="29">
        <v>7.0000000000000007E-2</v>
      </c>
      <c r="P333" s="28">
        <v>5.0960000000000001</v>
      </c>
      <c r="Q333" s="28">
        <v>67.703999999999994</v>
      </c>
      <c r="R333" s="1" t="str">
        <f t="shared" si="30"/>
        <v>Jun</v>
      </c>
      <c r="S333" s="28">
        <f t="shared" si="34"/>
        <v>45.9</v>
      </c>
      <c r="T333" s="28">
        <f t="shared" si="35"/>
        <v>21.803999999999995</v>
      </c>
      <c r="U333" s="11">
        <f t="shared" si="31"/>
        <v>0.32204891882311232</v>
      </c>
      <c r="V333" s="1" t="str">
        <f t="shared" si="32"/>
        <v>Standard</v>
      </c>
      <c r="W333" s="1" t="str">
        <f t="shared" si="33"/>
        <v>OK</v>
      </c>
    </row>
    <row r="334" spans="1:23">
      <c r="A334" s="1">
        <v>56952</v>
      </c>
      <c r="B334" s="10">
        <v>45815</v>
      </c>
      <c r="C334" s="1">
        <v>5</v>
      </c>
      <c r="D334" s="1" t="s">
        <v>78</v>
      </c>
      <c r="E334" s="1" t="s">
        <v>87</v>
      </c>
      <c r="F334" s="1" t="s">
        <v>64</v>
      </c>
      <c r="G334" s="1" t="s">
        <v>60</v>
      </c>
      <c r="H334" s="1" t="s">
        <v>68</v>
      </c>
      <c r="I334" s="1" t="s">
        <v>62</v>
      </c>
      <c r="J334" s="24">
        <v>4.1900000000000004</v>
      </c>
      <c r="K334" s="24">
        <v>10.23</v>
      </c>
      <c r="L334" s="28">
        <v>6.04</v>
      </c>
      <c r="M334" s="1">
        <v>25</v>
      </c>
      <c r="N334" s="28">
        <v>255.75</v>
      </c>
      <c r="O334" s="29">
        <v>7.0000000000000007E-2</v>
      </c>
      <c r="P334" s="28">
        <v>17.9025</v>
      </c>
      <c r="Q334" s="28">
        <v>237.8475</v>
      </c>
      <c r="R334" s="1" t="str">
        <f t="shared" si="30"/>
        <v>Jun</v>
      </c>
      <c r="S334" s="28">
        <f t="shared" si="34"/>
        <v>104.75000000000001</v>
      </c>
      <c r="T334" s="28">
        <f t="shared" si="35"/>
        <v>133.09749999999997</v>
      </c>
      <c r="U334" s="11">
        <f t="shared" si="31"/>
        <v>0.55959175522130766</v>
      </c>
      <c r="V334" s="1" t="str">
        <f t="shared" si="32"/>
        <v>Standard</v>
      </c>
      <c r="W334" s="1" t="str">
        <f t="shared" si="33"/>
        <v>OK</v>
      </c>
    </row>
    <row r="335" spans="1:23">
      <c r="A335" s="1">
        <v>56953</v>
      </c>
      <c r="B335" s="10">
        <v>45815</v>
      </c>
      <c r="C335" s="1">
        <v>13</v>
      </c>
      <c r="D335" s="1" t="s">
        <v>63</v>
      </c>
      <c r="E335" s="1" t="s">
        <v>67</v>
      </c>
      <c r="F335" s="1" t="s">
        <v>64</v>
      </c>
      <c r="G335" s="1" t="s">
        <v>60</v>
      </c>
      <c r="H335" s="1" t="s">
        <v>65</v>
      </c>
      <c r="I335" s="1" t="s">
        <v>213</v>
      </c>
      <c r="J335" s="24">
        <v>3.42</v>
      </c>
      <c r="K335" s="24">
        <v>8.34</v>
      </c>
      <c r="L335" s="28">
        <v>4.92</v>
      </c>
      <c r="M335" s="1">
        <v>14</v>
      </c>
      <c r="N335" s="28">
        <v>116.76</v>
      </c>
      <c r="O335" s="29">
        <v>0.04</v>
      </c>
      <c r="P335" s="28">
        <v>4.6703999999999999</v>
      </c>
      <c r="Q335" s="28">
        <v>112.0896</v>
      </c>
      <c r="R335" s="1" t="str">
        <f t="shared" si="30"/>
        <v>Jun</v>
      </c>
      <c r="S335" s="28">
        <f t="shared" si="34"/>
        <v>47.879999999999995</v>
      </c>
      <c r="T335" s="28">
        <f t="shared" si="35"/>
        <v>64.209600000000009</v>
      </c>
      <c r="U335" s="11">
        <f t="shared" si="31"/>
        <v>0.57284172661870514</v>
      </c>
      <c r="V335" s="1" t="str">
        <f t="shared" si="32"/>
        <v>Slow</v>
      </c>
      <c r="W335" s="1" t="str">
        <f t="shared" si="33"/>
        <v>OK</v>
      </c>
    </row>
    <row r="336" spans="1:23">
      <c r="A336" s="1">
        <v>56954</v>
      </c>
      <c r="B336" s="10">
        <v>45816</v>
      </c>
      <c r="C336" s="1">
        <v>3</v>
      </c>
      <c r="D336" s="1" t="s">
        <v>63</v>
      </c>
      <c r="E336" s="1" t="s">
        <v>67</v>
      </c>
      <c r="F336" s="1" t="s">
        <v>18</v>
      </c>
      <c r="G336" s="1" t="s">
        <v>85</v>
      </c>
      <c r="H336" s="1" t="s">
        <v>68</v>
      </c>
      <c r="I336" s="1" t="s">
        <v>170</v>
      </c>
      <c r="J336" s="24">
        <v>56.16</v>
      </c>
      <c r="K336" s="24">
        <v>136.97999999999999</v>
      </c>
      <c r="L336" s="28">
        <v>80.819999999999993</v>
      </c>
      <c r="M336" s="1">
        <v>14</v>
      </c>
      <c r="N336" s="28">
        <v>1917.72</v>
      </c>
      <c r="O336" s="29">
        <v>0</v>
      </c>
      <c r="P336" s="28">
        <v>0</v>
      </c>
      <c r="Q336" s="28">
        <v>1917.72</v>
      </c>
      <c r="R336" s="1" t="str">
        <f t="shared" si="30"/>
        <v>Jun</v>
      </c>
      <c r="S336" s="28">
        <f t="shared" si="34"/>
        <v>786.24</v>
      </c>
      <c r="T336" s="28">
        <f t="shared" si="35"/>
        <v>1131.48</v>
      </c>
      <c r="U336" s="11">
        <f t="shared" si="31"/>
        <v>0.59001314060446786</v>
      </c>
      <c r="V336" s="1" t="str">
        <f t="shared" si="32"/>
        <v>Fast</v>
      </c>
      <c r="W336" s="1" t="str">
        <f t="shared" si="33"/>
        <v>OK</v>
      </c>
    </row>
    <row r="337" spans="1:23">
      <c r="A337" s="1">
        <v>56955</v>
      </c>
      <c r="B337" s="10">
        <v>45816</v>
      </c>
      <c r="C337" s="1">
        <v>2</v>
      </c>
      <c r="D337" s="1" t="s">
        <v>57</v>
      </c>
      <c r="E337" s="1" t="s">
        <v>67</v>
      </c>
      <c r="F337" s="1" t="s">
        <v>18</v>
      </c>
      <c r="G337" s="1" t="s">
        <v>60</v>
      </c>
      <c r="H337" s="1" t="s">
        <v>68</v>
      </c>
      <c r="I337" s="1" t="s">
        <v>91</v>
      </c>
      <c r="J337" s="24">
        <v>0.93</v>
      </c>
      <c r="K337" s="24">
        <v>1.48</v>
      </c>
      <c r="L337" s="28">
        <v>0.54999999999999993</v>
      </c>
      <c r="M337" s="1">
        <v>4</v>
      </c>
      <c r="N337" s="28">
        <v>5.92</v>
      </c>
      <c r="O337" s="29">
        <v>0.1</v>
      </c>
      <c r="P337" s="28">
        <v>0.59199999999999997</v>
      </c>
      <c r="Q337" s="28">
        <v>5.3280000000000003</v>
      </c>
      <c r="R337" s="1" t="str">
        <f t="shared" si="30"/>
        <v>Jun</v>
      </c>
      <c r="S337" s="28">
        <f t="shared" si="34"/>
        <v>3.72</v>
      </c>
      <c r="T337" s="28">
        <f t="shared" si="35"/>
        <v>1.6080000000000001</v>
      </c>
      <c r="U337" s="11">
        <f t="shared" si="31"/>
        <v>0.30180180180180183</v>
      </c>
      <c r="V337" s="1" t="str">
        <f t="shared" si="32"/>
        <v>Fast</v>
      </c>
      <c r="W337" s="1" t="str">
        <f t="shared" si="33"/>
        <v>OK</v>
      </c>
    </row>
    <row r="338" spans="1:23">
      <c r="A338" s="1">
        <v>56956</v>
      </c>
      <c r="B338" s="10">
        <v>45816</v>
      </c>
      <c r="C338" s="1">
        <v>12</v>
      </c>
      <c r="D338" s="1" t="s">
        <v>57</v>
      </c>
      <c r="E338" s="1" t="s">
        <v>87</v>
      </c>
      <c r="F338" s="1" t="s">
        <v>73</v>
      </c>
      <c r="G338" s="1" t="s">
        <v>81</v>
      </c>
      <c r="H338" s="1" t="s">
        <v>61</v>
      </c>
      <c r="I338" s="1" t="s">
        <v>139</v>
      </c>
      <c r="J338" s="24">
        <v>6.39</v>
      </c>
      <c r="K338" s="24">
        <v>19.98</v>
      </c>
      <c r="L338" s="28">
        <v>13.59</v>
      </c>
      <c r="M338" s="1">
        <v>8</v>
      </c>
      <c r="N338" s="28">
        <v>159.84</v>
      </c>
      <c r="O338" s="29">
        <v>0.08</v>
      </c>
      <c r="P338" s="28">
        <v>12.7872</v>
      </c>
      <c r="Q338" s="28">
        <v>147.05279999999999</v>
      </c>
      <c r="R338" s="1" t="str">
        <f t="shared" si="30"/>
        <v>Jun</v>
      </c>
      <c r="S338" s="28">
        <f t="shared" si="34"/>
        <v>51.12</v>
      </c>
      <c r="T338" s="28">
        <f t="shared" si="35"/>
        <v>95.932799999999986</v>
      </c>
      <c r="U338" s="11">
        <f t="shared" si="31"/>
        <v>0.65236976106541322</v>
      </c>
      <c r="V338" s="1" t="str">
        <f t="shared" si="32"/>
        <v>Slow</v>
      </c>
      <c r="W338" s="1" t="str">
        <f t="shared" si="33"/>
        <v>OK</v>
      </c>
    </row>
    <row r="339" spans="1:23">
      <c r="A339" s="1">
        <v>56957</v>
      </c>
      <c r="B339" s="10">
        <v>45817</v>
      </c>
      <c r="C339" s="1">
        <v>12</v>
      </c>
      <c r="D339" s="1" t="s">
        <v>63</v>
      </c>
      <c r="E339" s="1" t="s">
        <v>72</v>
      </c>
      <c r="F339" s="1" t="s">
        <v>98</v>
      </c>
      <c r="G339" s="1" t="s">
        <v>60</v>
      </c>
      <c r="H339" s="1" t="s">
        <v>90</v>
      </c>
      <c r="I339" s="1" t="s">
        <v>199</v>
      </c>
      <c r="J339" s="24">
        <v>2.98</v>
      </c>
      <c r="K339" s="24">
        <v>5.84</v>
      </c>
      <c r="L339" s="28">
        <v>2.86</v>
      </c>
      <c r="M339" s="1">
        <v>11</v>
      </c>
      <c r="N339" s="28">
        <v>64.239999999999995</v>
      </c>
      <c r="O339" s="29">
        <v>0.02</v>
      </c>
      <c r="P339" s="28">
        <v>1.2847999999999999</v>
      </c>
      <c r="Q339" s="28">
        <v>62.955199999999998</v>
      </c>
      <c r="R339" s="1" t="str">
        <f t="shared" si="30"/>
        <v>Jun</v>
      </c>
      <c r="S339" s="28">
        <f t="shared" si="34"/>
        <v>32.78</v>
      </c>
      <c r="T339" s="28">
        <f t="shared" si="35"/>
        <v>30.175199999999997</v>
      </c>
      <c r="U339" s="11">
        <f t="shared" si="31"/>
        <v>0.47931227285434719</v>
      </c>
      <c r="V339" s="1" t="str">
        <f t="shared" si="32"/>
        <v>Slow</v>
      </c>
      <c r="W339" s="1" t="str">
        <f t="shared" si="33"/>
        <v>OK</v>
      </c>
    </row>
    <row r="340" spans="1:23">
      <c r="A340" s="1">
        <v>56958</v>
      </c>
      <c r="B340" s="10">
        <v>45820</v>
      </c>
      <c r="C340" s="1">
        <v>15</v>
      </c>
      <c r="D340" s="1" t="s">
        <v>57</v>
      </c>
      <c r="E340" s="1" t="s">
        <v>58</v>
      </c>
      <c r="F340" s="1" t="s">
        <v>100</v>
      </c>
      <c r="G340" s="1" t="s">
        <v>81</v>
      </c>
      <c r="H340" s="1" t="s">
        <v>90</v>
      </c>
      <c r="I340" s="1" t="s">
        <v>147</v>
      </c>
      <c r="J340" s="24">
        <v>377.99</v>
      </c>
      <c r="K340" s="24">
        <v>599.99</v>
      </c>
      <c r="L340" s="28">
        <v>222</v>
      </c>
      <c r="M340" s="1">
        <v>56</v>
      </c>
      <c r="N340" s="28">
        <v>33599.440000000002</v>
      </c>
      <c r="O340" s="29">
        <v>0.09</v>
      </c>
      <c r="P340" s="28">
        <v>3023.9495999999999</v>
      </c>
      <c r="Q340" s="28">
        <v>30575.490399999999</v>
      </c>
      <c r="R340" s="1" t="str">
        <f t="shared" si="30"/>
        <v>Jun</v>
      </c>
      <c r="S340" s="28">
        <f t="shared" si="34"/>
        <v>21167.440000000002</v>
      </c>
      <c r="T340" s="28">
        <f t="shared" si="35"/>
        <v>9408.0503999999964</v>
      </c>
      <c r="U340" s="11">
        <f t="shared" si="31"/>
        <v>0.30769908436202864</v>
      </c>
      <c r="V340" s="1" t="str">
        <f t="shared" si="32"/>
        <v>Very Slow</v>
      </c>
      <c r="W340" s="1" t="str">
        <f t="shared" si="33"/>
        <v>OK</v>
      </c>
    </row>
    <row r="341" spans="1:23">
      <c r="A341" s="1">
        <v>56959</v>
      </c>
      <c r="B341" s="10">
        <v>45821</v>
      </c>
      <c r="C341" s="1">
        <v>23</v>
      </c>
      <c r="D341" s="1" t="s">
        <v>57</v>
      </c>
      <c r="E341" s="1" t="s">
        <v>87</v>
      </c>
      <c r="F341" s="1" t="s">
        <v>73</v>
      </c>
      <c r="G341" s="1" t="s">
        <v>60</v>
      </c>
      <c r="H341" s="1" t="s">
        <v>61</v>
      </c>
      <c r="I341" s="1" t="s">
        <v>131</v>
      </c>
      <c r="J341" s="24">
        <v>0.24</v>
      </c>
      <c r="K341" s="24">
        <v>1.26</v>
      </c>
      <c r="L341" s="28">
        <v>1.02</v>
      </c>
      <c r="M341" s="1">
        <v>10</v>
      </c>
      <c r="N341" s="28">
        <v>12.6</v>
      </c>
      <c r="O341" s="29">
        <v>0</v>
      </c>
      <c r="P341" s="28">
        <v>0</v>
      </c>
      <c r="Q341" s="28">
        <v>12.6</v>
      </c>
      <c r="R341" s="1" t="str">
        <f t="shared" si="30"/>
        <v>Jun</v>
      </c>
      <c r="S341" s="28">
        <f t="shared" si="34"/>
        <v>2.4</v>
      </c>
      <c r="T341" s="28">
        <f t="shared" si="35"/>
        <v>10.199999999999999</v>
      </c>
      <c r="U341" s="11">
        <f t="shared" si="31"/>
        <v>0.80952380952380953</v>
      </c>
      <c r="V341" s="1" t="str">
        <f t="shared" si="32"/>
        <v>Very Slow</v>
      </c>
      <c r="W341" s="1" t="str">
        <f t="shared" si="33"/>
        <v>OK</v>
      </c>
    </row>
    <row r="342" spans="1:23">
      <c r="A342" s="1">
        <v>56960</v>
      </c>
      <c r="B342" s="10">
        <v>45821</v>
      </c>
      <c r="C342" s="1">
        <v>5</v>
      </c>
      <c r="D342" s="1" t="s">
        <v>63</v>
      </c>
      <c r="E342" s="1" t="s">
        <v>87</v>
      </c>
      <c r="F342" s="1" t="s">
        <v>64</v>
      </c>
      <c r="G342" s="1" t="s">
        <v>60</v>
      </c>
      <c r="H342" s="1" t="s">
        <v>61</v>
      </c>
      <c r="I342" s="1" t="s">
        <v>184</v>
      </c>
      <c r="J342" s="24">
        <v>21.56</v>
      </c>
      <c r="K342" s="24">
        <v>36.549999999999997</v>
      </c>
      <c r="L342" s="28">
        <v>14.99</v>
      </c>
      <c r="M342" s="1">
        <v>14</v>
      </c>
      <c r="N342" s="28">
        <v>511.69999999999987</v>
      </c>
      <c r="O342" s="29">
        <v>0.09</v>
      </c>
      <c r="P342" s="28">
        <v>46.05299999999999</v>
      </c>
      <c r="Q342" s="28">
        <v>465.64699999999988</v>
      </c>
      <c r="R342" s="1" t="str">
        <f t="shared" si="30"/>
        <v>Jun</v>
      </c>
      <c r="S342" s="28">
        <f t="shared" si="34"/>
        <v>301.83999999999997</v>
      </c>
      <c r="T342" s="28">
        <f t="shared" si="35"/>
        <v>163.8069999999999</v>
      </c>
      <c r="U342" s="11">
        <f t="shared" si="31"/>
        <v>0.35178364726928329</v>
      </c>
      <c r="V342" s="1" t="str">
        <f t="shared" si="32"/>
        <v>Standard</v>
      </c>
      <c r="W342" s="1" t="str">
        <f t="shared" si="33"/>
        <v>OK</v>
      </c>
    </row>
    <row r="343" spans="1:23">
      <c r="A343" s="1">
        <v>56961</v>
      </c>
      <c r="B343" s="10">
        <v>45821</v>
      </c>
      <c r="C343" s="1">
        <v>19</v>
      </c>
      <c r="D343" s="1" t="s">
        <v>57</v>
      </c>
      <c r="E343" s="1" t="s">
        <v>67</v>
      </c>
      <c r="F343" s="1" t="s">
        <v>64</v>
      </c>
      <c r="G343" s="1" t="s">
        <v>60</v>
      </c>
      <c r="H343" s="1" t="s">
        <v>61</v>
      </c>
      <c r="I343" s="1" t="s">
        <v>214</v>
      </c>
      <c r="J343" s="24">
        <v>1.82</v>
      </c>
      <c r="K343" s="24">
        <v>2.98</v>
      </c>
      <c r="L343" s="28">
        <v>1.1599999999999999</v>
      </c>
      <c r="M343" s="1">
        <v>32</v>
      </c>
      <c r="N343" s="28">
        <v>95.36</v>
      </c>
      <c r="O343" s="29">
        <v>0.01</v>
      </c>
      <c r="P343" s="28">
        <v>0.9536</v>
      </c>
      <c r="Q343" s="28">
        <v>94.406400000000005</v>
      </c>
      <c r="R343" s="1" t="str">
        <f t="shared" si="30"/>
        <v>Jun</v>
      </c>
      <c r="S343" s="28">
        <f t="shared" si="34"/>
        <v>58.24</v>
      </c>
      <c r="T343" s="28">
        <f t="shared" si="35"/>
        <v>36.166400000000003</v>
      </c>
      <c r="U343" s="11">
        <f t="shared" si="31"/>
        <v>0.38309267168327571</v>
      </c>
      <c r="V343" s="1" t="str">
        <f t="shared" si="32"/>
        <v>Very Slow</v>
      </c>
      <c r="W343" s="1" t="str">
        <f t="shared" si="33"/>
        <v>OK</v>
      </c>
    </row>
    <row r="344" spans="1:23">
      <c r="A344" s="1">
        <v>56962</v>
      </c>
      <c r="B344" s="10">
        <v>45821</v>
      </c>
      <c r="C344" s="1">
        <v>14</v>
      </c>
      <c r="D344" s="1" t="s">
        <v>57</v>
      </c>
      <c r="E344" s="1" t="s">
        <v>87</v>
      </c>
      <c r="F344" s="1" t="s">
        <v>73</v>
      </c>
      <c r="G344" s="1" t="s">
        <v>60</v>
      </c>
      <c r="H344" s="1" t="s">
        <v>70</v>
      </c>
      <c r="I344" s="1" t="s">
        <v>183</v>
      </c>
      <c r="J344" s="24">
        <v>1.76</v>
      </c>
      <c r="K344" s="24">
        <v>3.38</v>
      </c>
      <c r="L344" s="28">
        <v>1.62</v>
      </c>
      <c r="M344" s="1">
        <v>31</v>
      </c>
      <c r="N344" s="28">
        <v>104.78</v>
      </c>
      <c r="O344" s="29">
        <v>0.04</v>
      </c>
      <c r="P344" s="28">
        <v>4.1912000000000003</v>
      </c>
      <c r="Q344" s="28">
        <v>100.58880000000001</v>
      </c>
      <c r="R344" s="1" t="str">
        <f t="shared" si="30"/>
        <v>Jun</v>
      </c>
      <c r="S344" s="28">
        <f t="shared" si="34"/>
        <v>54.56</v>
      </c>
      <c r="T344" s="28">
        <f t="shared" si="35"/>
        <v>46.028800000000004</v>
      </c>
      <c r="U344" s="11">
        <f t="shared" si="31"/>
        <v>0.45759368836291914</v>
      </c>
      <c r="V344" s="1" t="str">
        <f t="shared" si="32"/>
        <v>Slow</v>
      </c>
      <c r="W344" s="1" t="str">
        <f t="shared" si="33"/>
        <v>OK</v>
      </c>
    </row>
    <row r="345" spans="1:23">
      <c r="A345" s="1">
        <v>56963</v>
      </c>
      <c r="B345" s="10">
        <v>45822</v>
      </c>
      <c r="C345" s="1">
        <v>17</v>
      </c>
      <c r="D345" s="1" t="s">
        <v>57</v>
      </c>
      <c r="E345" s="1" t="s">
        <v>67</v>
      </c>
      <c r="F345" s="1" t="s">
        <v>75</v>
      </c>
      <c r="G345" s="1" t="s">
        <v>60</v>
      </c>
      <c r="H345" s="1" t="s">
        <v>90</v>
      </c>
      <c r="I345" s="1" t="s">
        <v>141</v>
      </c>
      <c r="J345" s="24">
        <v>2.1800000000000002</v>
      </c>
      <c r="K345" s="24">
        <v>3.52</v>
      </c>
      <c r="L345" s="28">
        <v>1.34</v>
      </c>
      <c r="M345" s="1">
        <v>32</v>
      </c>
      <c r="N345" s="28">
        <v>112.64</v>
      </c>
      <c r="O345" s="29">
        <v>7.0000000000000007E-2</v>
      </c>
      <c r="P345" s="28">
        <v>7.8848000000000011</v>
      </c>
      <c r="Q345" s="28">
        <v>104.7552</v>
      </c>
      <c r="R345" s="1" t="str">
        <f t="shared" si="30"/>
        <v>Jun</v>
      </c>
      <c r="S345" s="28">
        <f t="shared" si="34"/>
        <v>69.760000000000005</v>
      </c>
      <c r="T345" s="28">
        <f t="shared" si="35"/>
        <v>34.995199999999997</v>
      </c>
      <c r="U345" s="11">
        <f t="shared" si="31"/>
        <v>0.33406647116324534</v>
      </c>
      <c r="V345" s="1" t="str">
        <f t="shared" si="32"/>
        <v>Very Slow</v>
      </c>
      <c r="W345" s="1" t="str">
        <f t="shared" si="33"/>
        <v>OK</v>
      </c>
    </row>
    <row r="346" spans="1:23">
      <c r="A346" s="1">
        <v>56964</v>
      </c>
      <c r="B346" s="10">
        <v>45822</v>
      </c>
      <c r="C346" s="1">
        <v>23</v>
      </c>
      <c r="D346" s="1" t="s">
        <v>57</v>
      </c>
      <c r="E346" s="1" t="s">
        <v>87</v>
      </c>
      <c r="F346" s="1" t="s">
        <v>59</v>
      </c>
      <c r="G346" s="1" t="s">
        <v>60</v>
      </c>
      <c r="H346" s="1" t="s">
        <v>65</v>
      </c>
      <c r="I346" s="1" t="s">
        <v>131</v>
      </c>
      <c r="J346" s="24">
        <v>0.24</v>
      </c>
      <c r="K346" s="24">
        <v>1.26</v>
      </c>
      <c r="L346" s="28">
        <v>1.02</v>
      </c>
      <c r="M346" s="1">
        <v>32</v>
      </c>
      <c r="N346" s="28">
        <v>40.32</v>
      </c>
      <c r="O346" s="29">
        <v>0.1</v>
      </c>
      <c r="P346" s="28">
        <v>4.032</v>
      </c>
      <c r="Q346" s="28">
        <v>36.287999999999997</v>
      </c>
      <c r="R346" s="1" t="str">
        <f t="shared" si="30"/>
        <v>Jun</v>
      </c>
      <c r="S346" s="28">
        <f t="shared" si="34"/>
        <v>7.68</v>
      </c>
      <c r="T346" s="28">
        <f t="shared" si="35"/>
        <v>28.607999999999997</v>
      </c>
      <c r="U346" s="11">
        <f t="shared" si="31"/>
        <v>0.78835978835978837</v>
      </c>
      <c r="V346" s="1" t="str">
        <f t="shared" si="32"/>
        <v>Very Slow</v>
      </c>
      <c r="W346" s="1" t="str">
        <f t="shared" si="33"/>
        <v>OK</v>
      </c>
    </row>
    <row r="347" spans="1:23">
      <c r="A347" s="1">
        <v>56965</v>
      </c>
      <c r="B347" s="10">
        <v>45822</v>
      </c>
      <c r="C347" s="1">
        <v>21</v>
      </c>
      <c r="D347" s="1" t="s">
        <v>78</v>
      </c>
      <c r="E347" s="1" t="s">
        <v>72</v>
      </c>
      <c r="F347" s="1" t="s">
        <v>59</v>
      </c>
      <c r="G347" s="1" t="s">
        <v>60</v>
      </c>
      <c r="H347" s="1" t="s">
        <v>65</v>
      </c>
      <c r="I347" s="1" t="s">
        <v>155</v>
      </c>
      <c r="J347" s="24">
        <v>2.39</v>
      </c>
      <c r="K347" s="24">
        <v>4.26</v>
      </c>
      <c r="L347" s="28">
        <v>1.87</v>
      </c>
      <c r="M347" s="1">
        <v>8</v>
      </c>
      <c r="N347" s="28">
        <v>34.08</v>
      </c>
      <c r="O347" s="29">
        <v>0.1</v>
      </c>
      <c r="P347" s="28">
        <v>3.4079999999999999</v>
      </c>
      <c r="Q347" s="28">
        <v>30.672000000000001</v>
      </c>
      <c r="R347" s="1" t="str">
        <f t="shared" si="30"/>
        <v>Jun</v>
      </c>
      <c r="S347" s="28">
        <f t="shared" si="34"/>
        <v>19.12</v>
      </c>
      <c r="T347" s="28">
        <f t="shared" si="35"/>
        <v>11.552</v>
      </c>
      <c r="U347" s="11">
        <f t="shared" si="31"/>
        <v>0.37663015127803856</v>
      </c>
      <c r="V347" s="1" t="str">
        <f t="shared" si="32"/>
        <v>Very Slow</v>
      </c>
      <c r="W347" s="1" t="str">
        <f t="shared" si="33"/>
        <v>OK</v>
      </c>
    </row>
    <row r="348" spans="1:23">
      <c r="A348" s="1">
        <v>56966</v>
      </c>
      <c r="B348" s="10">
        <v>45822</v>
      </c>
      <c r="C348" s="1">
        <v>18</v>
      </c>
      <c r="D348" s="1" t="s">
        <v>57</v>
      </c>
      <c r="E348" s="1" t="s">
        <v>72</v>
      </c>
      <c r="F348" s="1" t="s">
        <v>59</v>
      </c>
      <c r="G348" s="1" t="s">
        <v>81</v>
      </c>
      <c r="H348" s="1" t="s">
        <v>65</v>
      </c>
      <c r="I348" s="1" t="s">
        <v>110</v>
      </c>
      <c r="J348" s="24">
        <v>216</v>
      </c>
      <c r="K348" s="24">
        <v>449.99</v>
      </c>
      <c r="L348" s="28">
        <v>233.99</v>
      </c>
      <c r="M348" s="1">
        <v>3</v>
      </c>
      <c r="N348" s="28">
        <v>1349.97</v>
      </c>
      <c r="O348" s="29">
        <v>0.08</v>
      </c>
      <c r="P348" s="28">
        <v>107.99760000000001</v>
      </c>
      <c r="Q348" s="28">
        <v>1241.9724000000001</v>
      </c>
      <c r="R348" s="1" t="str">
        <f t="shared" si="30"/>
        <v>Jun</v>
      </c>
      <c r="S348" s="28">
        <f t="shared" si="34"/>
        <v>648</v>
      </c>
      <c r="T348" s="28">
        <f t="shared" si="35"/>
        <v>593.97240000000011</v>
      </c>
      <c r="U348" s="11">
        <f t="shared" si="31"/>
        <v>0.4782492751046642</v>
      </c>
      <c r="V348" s="1" t="str">
        <f t="shared" si="32"/>
        <v>Very Slow</v>
      </c>
      <c r="W348" s="1" t="str">
        <f t="shared" si="33"/>
        <v>OK</v>
      </c>
    </row>
    <row r="349" spans="1:23">
      <c r="A349" s="1">
        <v>56967</v>
      </c>
      <c r="B349" s="10">
        <v>45823</v>
      </c>
      <c r="C349" s="1">
        <v>22</v>
      </c>
      <c r="D349" s="1" t="s">
        <v>57</v>
      </c>
      <c r="E349" s="1" t="s">
        <v>87</v>
      </c>
      <c r="F349" s="1" t="s">
        <v>84</v>
      </c>
      <c r="G349" s="1" t="s">
        <v>81</v>
      </c>
      <c r="H349" s="1" t="s">
        <v>61</v>
      </c>
      <c r="I349" s="1" t="s">
        <v>113</v>
      </c>
      <c r="J349" s="24">
        <v>8.31</v>
      </c>
      <c r="K349" s="24">
        <v>15.98</v>
      </c>
      <c r="L349" s="28">
        <v>7.67</v>
      </c>
      <c r="M349" s="1">
        <v>19</v>
      </c>
      <c r="N349" s="28">
        <v>303.62</v>
      </c>
      <c r="O349" s="29">
        <v>0.1</v>
      </c>
      <c r="P349" s="28">
        <v>30.361999999999998</v>
      </c>
      <c r="Q349" s="28">
        <v>273.25799999999998</v>
      </c>
      <c r="R349" s="1" t="str">
        <f t="shared" si="30"/>
        <v>Jun</v>
      </c>
      <c r="S349" s="28">
        <f t="shared" si="34"/>
        <v>157.89000000000001</v>
      </c>
      <c r="T349" s="28">
        <f t="shared" si="35"/>
        <v>115.36799999999997</v>
      </c>
      <c r="U349" s="11">
        <f t="shared" si="31"/>
        <v>0.42219440967876504</v>
      </c>
      <c r="V349" s="1" t="str">
        <f t="shared" si="32"/>
        <v>Very Slow</v>
      </c>
      <c r="W349" s="1" t="str">
        <f t="shared" si="33"/>
        <v>OK</v>
      </c>
    </row>
    <row r="350" spans="1:23">
      <c r="A350" s="1">
        <v>56968</v>
      </c>
      <c r="B350" s="10">
        <v>45823</v>
      </c>
      <c r="C350" s="1">
        <v>20</v>
      </c>
      <c r="D350" s="1" t="s">
        <v>63</v>
      </c>
      <c r="E350" s="1" t="s">
        <v>72</v>
      </c>
      <c r="F350" s="1" t="s">
        <v>79</v>
      </c>
      <c r="G350" s="1" t="s">
        <v>60</v>
      </c>
      <c r="H350" s="1" t="s">
        <v>68</v>
      </c>
      <c r="I350" s="1" t="s">
        <v>181</v>
      </c>
      <c r="J350" s="24">
        <v>3.48</v>
      </c>
      <c r="K350" s="24">
        <v>5.43</v>
      </c>
      <c r="L350" s="28">
        <v>1.95</v>
      </c>
      <c r="M350" s="1">
        <v>39</v>
      </c>
      <c r="N350" s="28">
        <v>211.77</v>
      </c>
      <c r="O350" s="29">
        <v>0.09</v>
      </c>
      <c r="P350" s="28">
        <v>19.0593</v>
      </c>
      <c r="Q350" s="28">
        <v>192.7107</v>
      </c>
      <c r="R350" s="1" t="str">
        <f t="shared" si="30"/>
        <v>Jun</v>
      </c>
      <c r="S350" s="28">
        <f t="shared" si="34"/>
        <v>135.72</v>
      </c>
      <c r="T350" s="28">
        <f t="shared" si="35"/>
        <v>56.990700000000004</v>
      </c>
      <c r="U350" s="11">
        <f t="shared" si="31"/>
        <v>0.29573189241697528</v>
      </c>
      <c r="V350" s="1" t="str">
        <f t="shared" si="32"/>
        <v>Very Slow</v>
      </c>
      <c r="W350" s="1" t="str">
        <f t="shared" si="33"/>
        <v>OK</v>
      </c>
    </row>
    <row r="351" spans="1:23">
      <c r="A351" s="1">
        <v>56969</v>
      </c>
      <c r="B351" s="10">
        <v>45823</v>
      </c>
      <c r="C351" s="1">
        <v>2</v>
      </c>
      <c r="D351" s="1" t="s">
        <v>57</v>
      </c>
      <c r="E351" s="1" t="s">
        <v>58</v>
      </c>
      <c r="F351" s="1" t="s">
        <v>64</v>
      </c>
      <c r="G351" s="1" t="s">
        <v>60</v>
      </c>
      <c r="H351" s="1" t="s">
        <v>65</v>
      </c>
      <c r="I351" s="1" t="s">
        <v>107</v>
      </c>
      <c r="J351" s="24">
        <v>13.88</v>
      </c>
      <c r="K351" s="24">
        <v>22.38</v>
      </c>
      <c r="L351" s="28">
        <v>8.4999999999999982</v>
      </c>
      <c r="M351" s="1">
        <v>7</v>
      </c>
      <c r="N351" s="28">
        <v>156.66</v>
      </c>
      <c r="O351" s="29">
        <v>0</v>
      </c>
      <c r="P351" s="28">
        <v>0</v>
      </c>
      <c r="Q351" s="28">
        <v>156.66</v>
      </c>
      <c r="R351" s="1" t="str">
        <f t="shared" si="30"/>
        <v>Jun</v>
      </c>
      <c r="S351" s="28">
        <f t="shared" si="34"/>
        <v>97.160000000000011</v>
      </c>
      <c r="T351" s="28">
        <f t="shared" si="35"/>
        <v>59.499999999999986</v>
      </c>
      <c r="U351" s="11">
        <f t="shared" si="31"/>
        <v>0.37980339588918671</v>
      </c>
      <c r="V351" s="1" t="str">
        <f t="shared" si="32"/>
        <v>Fast</v>
      </c>
      <c r="W351" s="1" t="str">
        <f t="shared" si="33"/>
        <v>OK</v>
      </c>
    </row>
    <row r="352" spans="1:23">
      <c r="A352" s="1">
        <v>56970</v>
      </c>
      <c r="B352" s="10">
        <v>45825</v>
      </c>
      <c r="C352" s="1">
        <v>9</v>
      </c>
      <c r="D352" s="1" t="s">
        <v>63</v>
      </c>
      <c r="E352" s="1" t="s">
        <v>58</v>
      </c>
      <c r="F352" s="1" t="s">
        <v>64</v>
      </c>
      <c r="G352" s="1" t="s">
        <v>60</v>
      </c>
      <c r="H352" s="1" t="s">
        <v>90</v>
      </c>
      <c r="I352" s="1" t="s">
        <v>124</v>
      </c>
      <c r="J352" s="24">
        <v>2.25</v>
      </c>
      <c r="K352" s="24">
        <v>3.69</v>
      </c>
      <c r="L352" s="28">
        <v>1.44</v>
      </c>
      <c r="M352" s="1">
        <v>55</v>
      </c>
      <c r="N352" s="28">
        <v>202.95</v>
      </c>
      <c r="O352" s="29">
        <v>0.04</v>
      </c>
      <c r="P352" s="28">
        <v>8.1180000000000003</v>
      </c>
      <c r="Q352" s="28">
        <v>194.83199999999999</v>
      </c>
      <c r="R352" s="1" t="str">
        <f t="shared" si="30"/>
        <v>Jun</v>
      </c>
      <c r="S352" s="28">
        <f t="shared" si="34"/>
        <v>123.75</v>
      </c>
      <c r="T352" s="28">
        <f t="shared" si="35"/>
        <v>71.081999999999994</v>
      </c>
      <c r="U352" s="11">
        <f t="shared" si="31"/>
        <v>0.36483739837398371</v>
      </c>
      <c r="V352" s="1" t="str">
        <f t="shared" si="32"/>
        <v>Slow</v>
      </c>
      <c r="W352" s="1" t="str">
        <f t="shared" si="33"/>
        <v>OK</v>
      </c>
    </row>
    <row r="353" spans="1:23">
      <c r="A353" s="1">
        <v>56971</v>
      </c>
      <c r="B353" s="10">
        <v>45825</v>
      </c>
      <c r="C353" s="1">
        <v>17</v>
      </c>
      <c r="D353" s="1" t="s">
        <v>57</v>
      </c>
      <c r="E353" s="1" t="s">
        <v>87</v>
      </c>
      <c r="F353" s="1" t="s">
        <v>59</v>
      </c>
      <c r="G353" s="1" t="s">
        <v>60</v>
      </c>
      <c r="H353" s="1" t="s">
        <v>70</v>
      </c>
      <c r="I353" s="1" t="s">
        <v>133</v>
      </c>
      <c r="J353" s="24">
        <v>3.65</v>
      </c>
      <c r="K353" s="24">
        <v>5.98</v>
      </c>
      <c r="L353" s="28">
        <v>2.330000000000001</v>
      </c>
      <c r="M353" s="1">
        <v>58</v>
      </c>
      <c r="N353" s="28">
        <v>346.84</v>
      </c>
      <c r="O353" s="29">
        <v>0.09</v>
      </c>
      <c r="P353" s="28">
        <v>31.215599999999998</v>
      </c>
      <c r="Q353" s="28">
        <v>315.62439999999998</v>
      </c>
      <c r="R353" s="1" t="str">
        <f t="shared" si="30"/>
        <v>Jun</v>
      </c>
      <c r="S353" s="28">
        <f t="shared" si="34"/>
        <v>211.7</v>
      </c>
      <c r="T353" s="28">
        <f t="shared" si="35"/>
        <v>103.92439999999999</v>
      </c>
      <c r="U353" s="11">
        <f t="shared" si="31"/>
        <v>0.32926605167407841</v>
      </c>
      <c r="V353" s="1" t="str">
        <f t="shared" si="32"/>
        <v>Very Slow</v>
      </c>
      <c r="W353" s="1" t="str">
        <f t="shared" si="33"/>
        <v>OK</v>
      </c>
    </row>
    <row r="354" spans="1:23">
      <c r="A354" s="1">
        <v>56972</v>
      </c>
      <c r="B354" s="10">
        <v>45825</v>
      </c>
      <c r="C354" s="1">
        <v>14</v>
      </c>
      <c r="D354" s="1" t="s">
        <v>57</v>
      </c>
      <c r="E354" s="1" t="s">
        <v>87</v>
      </c>
      <c r="F354" s="1" t="s">
        <v>59</v>
      </c>
      <c r="G354" s="1" t="s">
        <v>81</v>
      </c>
      <c r="H354" s="1" t="s">
        <v>61</v>
      </c>
      <c r="I354" s="1" t="s">
        <v>172</v>
      </c>
      <c r="J354" s="24">
        <v>315.61</v>
      </c>
      <c r="K354" s="24">
        <v>500.97</v>
      </c>
      <c r="L354" s="28">
        <v>185.36</v>
      </c>
      <c r="M354" s="1">
        <v>39</v>
      </c>
      <c r="N354" s="28">
        <v>19537.830000000002</v>
      </c>
      <c r="O354" s="29">
        <v>0.09</v>
      </c>
      <c r="P354" s="28">
        <v>1758.4047</v>
      </c>
      <c r="Q354" s="28">
        <v>17779.425299999999</v>
      </c>
      <c r="R354" s="1" t="str">
        <f t="shared" si="30"/>
        <v>Jun</v>
      </c>
      <c r="S354" s="28">
        <f t="shared" si="34"/>
        <v>12308.79</v>
      </c>
      <c r="T354" s="28">
        <f t="shared" si="35"/>
        <v>5470.6352999999981</v>
      </c>
      <c r="U354" s="11">
        <f t="shared" si="31"/>
        <v>0.30769472059369651</v>
      </c>
      <c r="V354" s="1" t="str">
        <f t="shared" si="32"/>
        <v>Slow</v>
      </c>
      <c r="W354" s="1" t="str">
        <f t="shared" si="33"/>
        <v>OK</v>
      </c>
    </row>
    <row r="355" spans="1:23">
      <c r="A355" s="1">
        <v>56973</v>
      </c>
      <c r="B355" s="10">
        <v>45826</v>
      </c>
      <c r="C355" s="1">
        <v>6</v>
      </c>
      <c r="D355" s="1" t="s">
        <v>57</v>
      </c>
      <c r="E355" s="1" t="s">
        <v>72</v>
      </c>
      <c r="F355" s="1" t="s">
        <v>73</v>
      </c>
      <c r="G355" s="1" t="s">
        <v>60</v>
      </c>
      <c r="H355" s="1" t="s">
        <v>70</v>
      </c>
      <c r="I355" s="1" t="s">
        <v>121</v>
      </c>
      <c r="J355" s="24">
        <v>1.84</v>
      </c>
      <c r="K355" s="24">
        <v>2.88</v>
      </c>
      <c r="L355" s="28">
        <v>1.04</v>
      </c>
      <c r="M355" s="1">
        <v>33</v>
      </c>
      <c r="N355" s="28">
        <v>95.039999999999992</v>
      </c>
      <c r="O355" s="29">
        <v>0.03</v>
      </c>
      <c r="P355" s="28">
        <v>2.8512</v>
      </c>
      <c r="Q355" s="28">
        <v>92.188799999999986</v>
      </c>
      <c r="R355" s="1" t="str">
        <f t="shared" si="30"/>
        <v>Jun</v>
      </c>
      <c r="S355" s="28">
        <f t="shared" si="34"/>
        <v>60.720000000000006</v>
      </c>
      <c r="T355" s="28">
        <f t="shared" si="35"/>
        <v>31.46879999999998</v>
      </c>
      <c r="U355" s="11">
        <f t="shared" si="31"/>
        <v>0.34135166093928965</v>
      </c>
      <c r="V355" s="1" t="str">
        <f t="shared" si="32"/>
        <v>Standard</v>
      </c>
      <c r="W355" s="1" t="str">
        <f t="shared" si="33"/>
        <v>OK</v>
      </c>
    </row>
    <row r="356" spans="1:23">
      <c r="A356" s="1">
        <v>56974</v>
      </c>
      <c r="B356" s="10">
        <v>45827</v>
      </c>
      <c r="C356" s="1">
        <v>15</v>
      </c>
      <c r="D356" s="1" t="s">
        <v>78</v>
      </c>
      <c r="E356" s="1" t="s">
        <v>58</v>
      </c>
      <c r="F356" s="1" t="s">
        <v>64</v>
      </c>
      <c r="G356" s="1" t="s">
        <v>60</v>
      </c>
      <c r="H356" s="1" t="s">
        <v>90</v>
      </c>
      <c r="I356" s="1" t="s">
        <v>187</v>
      </c>
      <c r="J356" s="24">
        <v>2.2599999999999998</v>
      </c>
      <c r="K356" s="24">
        <v>3.58</v>
      </c>
      <c r="L356" s="28">
        <v>1.32</v>
      </c>
      <c r="M356" s="1">
        <v>8</v>
      </c>
      <c r="N356" s="28">
        <v>28.64</v>
      </c>
      <c r="O356" s="29">
        <v>0.09</v>
      </c>
      <c r="P356" s="28">
        <v>2.5775999999999999</v>
      </c>
      <c r="Q356" s="28">
        <v>26.0624</v>
      </c>
      <c r="R356" s="1" t="str">
        <f t="shared" si="30"/>
        <v>Jun</v>
      </c>
      <c r="S356" s="28">
        <f t="shared" si="34"/>
        <v>18.079999999999998</v>
      </c>
      <c r="T356" s="28">
        <f t="shared" si="35"/>
        <v>7.9824000000000019</v>
      </c>
      <c r="U356" s="11">
        <f t="shared" si="31"/>
        <v>0.30628031186690413</v>
      </c>
      <c r="V356" s="1" t="str">
        <f t="shared" si="32"/>
        <v>Very Slow</v>
      </c>
      <c r="W356" s="1" t="str">
        <f t="shared" si="33"/>
        <v>OK</v>
      </c>
    </row>
    <row r="357" spans="1:23">
      <c r="A357" s="1">
        <v>56975</v>
      </c>
      <c r="B357" s="10">
        <v>45828</v>
      </c>
      <c r="C357" s="1">
        <v>10</v>
      </c>
      <c r="D357" s="1" t="s">
        <v>78</v>
      </c>
      <c r="E357" s="1" t="s">
        <v>72</v>
      </c>
      <c r="F357" s="1" t="s">
        <v>79</v>
      </c>
      <c r="G357" s="1" t="s">
        <v>60</v>
      </c>
      <c r="H357" s="1" t="s">
        <v>61</v>
      </c>
      <c r="I357" s="1" t="s">
        <v>215</v>
      </c>
      <c r="J357" s="24">
        <v>4.03</v>
      </c>
      <c r="K357" s="24">
        <v>9.3800000000000008</v>
      </c>
      <c r="L357" s="28">
        <v>5.3500000000000014</v>
      </c>
      <c r="M357" s="1">
        <v>36</v>
      </c>
      <c r="N357" s="28">
        <v>337.68</v>
      </c>
      <c r="O357" s="29">
        <v>0.08</v>
      </c>
      <c r="P357" s="28">
        <v>27.014399999999998</v>
      </c>
      <c r="Q357" s="28">
        <v>310.66559999999998</v>
      </c>
      <c r="R357" s="1" t="str">
        <f t="shared" si="30"/>
        <v>Jun</v>
      </c>
      <c r="S357" s="28">
        <f t="shared" si="34"/>
        <v>145.08000000000001</v>
      </c>
      <c r="T357" s="28">
        <f t="shared" si="35"/>
        <v>165.58559999999997</v>
      </c>
      <c r="U357" s="11">
        <f t="shared" si="31"/>
        <v>0.53300268842124776</v>
      </c>
      <c r="V357" s="1" t="str">
        <f t="shared" si="32"/>
        <v>Slow</v>
      </c>
      <c r="W357" s="1" t="str">
        <f t="shared" si="33"/>
        <v>OK</v>
      </c>
    </row>
    <row r="358" spans="1:23">
      <c r="A358" s="1">
        <v>56976</v>
      </c>
      <c r="B358" s="10">
        <v>45829</v>
      </c>
      <c r="C358" s="1">
        <v>8</v>
      </c>
      <c r="D358" s="1" t="s">
        <v>57</v>
      </c>
      <c r="E358" s="1" t="s">
        <v>72</v>
      </c>
      <c r="F358" s="1" t="s">
        <v>98</v>
      </c>
      <c r="G358" s="1" t="s">
        <v>60</v>
      </c>
      <c r="H358" s="1" t="s">
        <v>61</v>
      </c>
      <c r="I358" s="1" t="s">
        <v>194</v>
      </c>
      <c r="J358" s="24">
        <v>1.84</v>
      </c>
      <c r="K358" s="24">
        <v>2.88</v>
      </c>
      <c r="L358" s="28">
        <v>1.04</v>
      </c>
      <c r="M358" s="1">
        <v>40</v>
      </c>
      <c r="N358" s="28">
        <v>115.2</v>
      </c>
      <c r="O358" s="29">
        <v>0.02</v>
      </c>
      <c r="P358" s="28">
        <v>2.3039999999999998</v>
      </c>
      <c r="Q358" s="28">
        <v>112.896</v>
      </c>
      <c r="R358" s="1" t="str">
        <f t="shared" si="30"/>
        <v>Jun</v>
      </c>
      <c r="S358" s="28">
        <f t="shared" si="34"/>
        <v>73.600000000000009</v>
      </c>
      <c r="T358" s="28">
        <f t="shared" si="35"/>
        <v>39.295999999999992</v>
      </c>
      <c r="U358" s="11">
        <f t="shared" si="31"/>
        <v>0.34807256235827655</v>
      </c>
      <c r="V358" s="1" t="str">
        <f t="shared" si="32"/>
        <v>Slow</v>
      </c>
      <c r="W358" s="1" t="str">
        <f t="shared" si="33"/>
        <v>OK</v>
      </c>
    </row>
    <row r="359" spans="1:23">
      <c r="A359" s="1">
        <v>56977</v>
      </c>
      <c r="B359" s="10">
        <v>45829</v>
      </c>
      <c r="C359" s="1">
        <v>16</v>
      </c>
      <c r="D359" s="1" t="s">
        <v>57</v>
      </c>
      <c r="E359" s="1" t="s">
        <v>72</v>
      </c>
      <c r="F359" s="1" t="s">
        <v>98</v>
      </c>
      <c r="G359" s="1" t="s">
        <v>60</v>
      </c>
      <c r="H359" s="1" t="s">
        <v>61</v>
      </c>
      <c r="I359" s="1" t="s">
        <v>80</v>
      </c>
      <c r="J359" s="24">
        <v>4.46</v>
      </c>
      <c r="K359" s="24">
        <v>10.89</v>
      </c>
      <c r="L359" s="28">
        <v>6.4300000000000006</v>
      </c>
      <c r="M359" s="1">
        <v>39</v>
      </c>
      <c r="N359" s="28">
        <v>424.71</v>
      </c>
      <c r="O359" s="29">
        <v>0.06</v>
      </c>
      <c r="P359" s="28">
        <v>25.482600000000001</v>
      </c>
      <c r="Q359" s="28">
        <v>399.22739999999999</v>
      </c>
      <c r="R359" s="1" t="str">
        <f t="shared" si="30"/>
        <v>Jun</v>
      </c>
      <c r="S359" s="28">
        <f t="shared" si="34"/>
        <v>173.94</v>
      </c>
      <c r="T359" s="28">
        <f t="shared" si="35"/>
        <v>225.28739999999999</v>
      </c>
      <c r="U359" s="11">
        <f t="shared" si="31"/>
        <v>0.564308461793955</v>
      </c>
      <c r="V359" s="1" t="str">
        <f t="shared" si="32"/>
        <v>Very Slow</v>
      </c>
      <c r="W359" s="1" t="str">
        <f t="shared" si="33"/>
        <v>OK</v>
      </c>
    </row>
    <row r="360" spans="1:23">
      <c r="A360" s="1">
        <v>56978</v>
      </c>
      <c r="B360" s="10">
        <v>45829</v>
      </c>
      <c r="C360" s="1">
        <v>18</v>
      </c>
      <c r="D360" s="1" t="s">
        <v>57</v>
      </c>
      <c r="E360" s="1" t="s">
        <v>67</v>
      </c>
      <c r="F360" s="1" t="s">
        <v>108</v>
      </c>
      <c r="G360" s="1" t="s">
        <v>60</v>
      </c>
      <c r="H360" s="1" t="s">
        <v>65</v>
      </c>
      <c r="I360" s="1" t="s">
        <v>213</v>
      </c>
      <c r="J360" s="24">
        <v>3.42</v>
      </c>
      <c r="K360" s="24">
        <v>8.34</v>
      </c>
      <c r="L360" s="28">
        <v>4.92</v>
      </c>
      <c r="M360" s="1">
        <v>18</v>
      </c>
      <c r="N360" s="28">
        <v>150.12</v>
      </c>
      <c r="O360" s="29">
        <v>0.03</v>
      </c>
      <c r="P360" s="28">
        <v>4.5035999999999996</v>
      </c>
      <c r="Q360" s="28">
        <v>145.6164</v>
      </c>
      <c r="R360" s="1" t="str">
        <f t="shared" si="30"/>
        <v>Jun</v>
      </c>
      <c r="S360" s="28">
        <f t="shared" si="34"/>
        <v>61.56</v>
      </c>
      <c r="T360" s="28">
        <f t="shared" si="35"/>
        <v>84.056399999999996</v>
      </c>
      <c r="U360" s="11">
        <f t="shared" si="31"/>
        <v>0.57724542015871838</v>
      </c>
      <c r="V360" s="1" t="str">
        <f t="shared" si="32"/>
        <v>Very Slow</v>
      </c>
      <c r="W360" s="1" t="str">
        <f t="shared" si="33"/>
        <v>OK</v>
      </c>
    </row>
    <row r="361" spans="1:23">
      <c r="A361" s="1">
        <v>56979</v>
      </c>
      <c r="B361" s="10">
        <v>45830</v>
      </c>
      <c r="C361" s="1">
        <v>17</v>
      </c>
      <c r="D361" s="1" t="s">
        <v>57</v>
      </c>
      <c r="E361" s="1" t="s">
        <v>87</v>
      </c>
      <c r="F361" s="1" t="s">
        <v>64</v>
      </c>
      <c r="G361" s="1" t="s">
        <v>85</v>
      </c>
      <c r="H361" s="1" t="s">
        <v>90</v>
      </c>
      <c r="I361" s="1" t="s">
        <v>86</v>
      </c>
      <c r="J361" s="24">
        <v>5.5</v>
      </c>
      <c r="K361" s="24">
        <v>12.22</v>
      </c>
      <c r="L361" s="28">
        <v>6.7200000000000006</v>
      </c>
      <c r="M361" s="1">
        <v>45</v>
      </c>
      <c r="N361" s="28">
        <v>549.9</v>
      </c>
      <c r="O361" s="29">
        <v>0.06</v>
      </c>
      <c r="P361" s="28">
        <v>32.994</v>
      </c>
      <c r="Q361" s="28">
        <v>516.90599999999995</v>
      </c>
      <c r="R361" s="1" t="str">
        <f t="shared" si="30"/>
        <v>Jun</v>
      </c>
      <c r="S361" s="28">
        <f t="shared" si="34"/>
        <v>247.5</v>
      </c>
      <c r="T361" s="28">
        <f t="shared" si="35"/>
        <v>269.40599999999995</v>
      </c>
      <c r="U361" s="11">
        <f t="shared" si="31"/>
        <v>0.52118953929728029</v>
      </c>
      <c r="V361" s="1" t="str">
        <f t="shared" si="32"/>
        <v>Very Slow</v>
      </c>
      <c r="W361" s="1" t="str">
        <f t="shared" si="33"/>
        <v>OK</v>
      </c>
    </row>
    <row r="362" spans="1:23">
      <c r="A362" s="1">
        <v>56980</v>
      </c>
      <c r="B362" s="10">
        <v>45830</v>
      </c>
      <c r="C362" s="1">
        <v>7</v>
      </c>
      <c r="D362" s="1" t="s">
        <v>78</v>
      </c>
      <c r="E362" s="1" t="s">
        <v>87</v>
      </c>
      <c r="F362" s="1" t="s">
        <v>64</v>
      </c>
      <c r="G362" s="1" t="s">
        <v>60</v>
      </c>
      <c r="H362" s="1" t="s">
        <v>90</v>
      </c>
      <c r="I362" s="1" t="s">
        <v>187</v>
      </c>
      <c r="J362" s="24">
        <v>2.2599999999999998</v>
      </c>
      <c r="K362" s="24">
        <v>3.58</v>
      </c>
      <c r="L362" s="28">
        <v>1.32</v>
      </c>
      <c r="M362" s="1">
        <v>10</v>
      </c>
      <c r="N362" s="28">
        <v>35.799999999999997</v>
      </c>
      <c r="O362" s="29">
        <v>0.09</v>
      </c>
      <c r="P362" s="28">
        <v>3.222</v>
      </c>
      <c r="Q362" s="28">
        <v>32.578000000000003</v>
      </c>
      <c r="R362" s="1" t="str">
        <f t="shared" si="30"/>
        <v>Jun</v>
      </c>
      <c r="S362" s="28">
        <f t="shared" si="34"/>
        <v>22.599999999999998</v>
      </c>
      <c r="T362" s="28">
        <f t="shared" si="35"/>
        <v>9.9780000000000051</v>
      </c>
      <c r="U362" s="11">
        <f t="shared" si="31"/>
        <v>0.30628031186690419</v>
      </c>
      <c r="V362" s="1" t="str">
        <f t="shared" si="32"/>
        <v>Standard</v>
      </c>
      <c r="W362" s="1" t="str">
        <f t="shared" si="33"/>
        <v>OK</v>
      </c>
    </row>
    <row r="363" spans="1:23">
      <c r="A363" s="1">
        <v>56981</v>
      </c>
      <c r="B363" s="10">
        <v>45830</v>
      </c>
      <c r="C363" s="1">
        <v>6</v>
      </c>
      <c r="D363" s="1" t="s">
        <v>57</v>
      </c>
      <c r="E363" s="1" t="s">
        <v>67</v>
      </c>
      <c r="F363" s="1" t="s">
        <v>59</v>
      </c>
      <c r="G363" s="1" t="s">
        <v>60</v>
      </c>
      <c r="H363" s="1" t="s">
        <v>61</v>
      </c>
      <c r="I363" s="1" t="s">
        <v>205</v>
      </c>
      <c r="J363" s="24">
        <v>2.5</v>
      </c>
      <c r="K363" s="24">
        <v>5.68</v>
      </c>
      <c r="L363" s="28">
        <v>3.18</v>
      </c>
      <c r="M363" s="1">
        <v>21</v>
      </c>
      <c r="N363" s="28">
        <v>119.28</v>
      </c>
      <c r="O363" s="29">
        <v>0.1</v>
      </c>
      <c r="P363" s="28">
        <v>11.928000000000001</v>
      </c>
      <c r="Q363" s="28">
        <v>107.352</v>
      </c>
      <c r="R363" s="1" t="str">
        <f t="shared" si="30"/>
        <v>Jun</v>
      </c>
      <c r="S363" s="28">
        <f t="shared" si="34"/>
        <v>52.5</v>
      </c>
      <c r="T363" s="28">
        <f t="shared" si="35"/>
        <v>54.852000000000004</v>
      </c>
      <c r="U363" s="11">
        <f t="shared" si="31"/>
        <v>0.51095461658841945</v>
      </c>
      <c r="V363" s="1" t="str">
        <f t="shared" si="32"/>
        <v>Standard</v>
      </c>
      <c r="W363" s="1" t="str">
        <f t="shared" si="33"/>
        <v>OK</v>
      </c>
    </row>
    <row r="364" spans="1:23">
      <c r="A364" s="1">
        <v>56982</v>
      </c>
      <c r="B364" s="10">
        <v>45830</v>
      </c>
      <c r="C364" s="1">
        <v>11</v>
      </c>
      <c r="D364" s="1" t="s">
        <v>57</v>
      </c>
      <c r="E364" s="1" t="s">
        <v>67</v>
      </c>
      <c r="F364" s="1" t="s">
        <v>59</v>
      </c>
      <c r="G364" s="1" t="s">
        <v>81</v>
      </c>
      <c r="H364" s="1" t="s">
        <v>65</v>
      </c>
      <c r="I364" s="1" t="s">
        <v>113</v>
      </c>
      <c r="J364" s="24">
        <v>10.07</v>
      </c>
      <c r="K364" s="24">
        <v>15.98</v>
      </c>
      <c r="L364" s="28">
        <v>5.91</v>
      </c>
      <c r="M364" s="1">
        <v>25</v>
      </c>
      <c r="N364" s="28">
        <v>399.5</v>
      </c>
      <c r="O364" s="29">
        <v>0.03</v>
      </c>
      <c r="P364" s="28">
        <v>11.984999999999999</v>
      </c>
      <c r="Q364" s="28">
        <v>387.51499999999999</v>
      </c>
      <c r="R364" s="1" t="str">
        <f t="shared" si="30"/>
        <v>Jun</v>
      </c>
      <c r="S364" s="28">
        <f t="shared" si="34"/>
        <v>251.75</v>
      </c>
      <c r="T364" s="28">
        <f t="shared" si="35"/>
        <v>135.76499999999999</v>
      </c>
      <c r="U364" s="11">
        <f t="shared" si="31"/>
        <v>0.35034772847502677</v>
      </c>
      <c r="V364" s="1" t="str">
        <f t="shared" si="32"/>
        <v>Slow</v>
      </c>
      <c r="W364" s="1" t="str">
        <f t="shared" si="33"/>
        <v>OK</v>
      </c>
    </row>
    <row r="365" spans="1:23">
      <c r="A365" s="1">
        <v>56983</v>
      </c>
      <c r="B365" s="10">
        <v>45830</v>
      </c>
      <c r="C365" s="1">
        <v>8</v>
      </c>
      <c r="D365" s="1" t="s">
        <v>63</v>
      </c>
      <c r="E365" s="1" t="s">
        <v>67</v>
      </c>
      <c r="F365" s="1" t="s">
        <v>108</v>
      </c>
      <c r="G365" s="1" t="s">
        <v>60</v>
      </c>
      <c r="H365" s="1" t="s">
        <v>70</v>
      </c>
      <c r="I365" s="1" t="s">
        <v>216</v>
      </c>
      <c r="J365" s="24">
        <v>84.22</v>
      </c>
      <c r="K365" s="24">
        <v>210.55</v>
      </c>
      <c r="L365" s="28">
        <v>126.33</v>
      </c>
      <c r="M365" s="1">
        <v>31</v>
      </c>
      <c r="N365" s="28">
        <v>6527.05</v>
      </c>
      <c r="O365" s="29">
        <v>0.1</v>
      </c>
      <c r="P365" s="28">
        <v>652.70500000000004</v>
      </c>
      <c r="Q365" s="28">
        <v>5874.3450000000003</v>
      </c>
      <c r="R365" s="1" t="str">
        <f t="shared" si="30"/>
        <v>Jun</v>
      </c>
      <c r="S365" s="28">
        <f t="shared" si="34"/>
        <v>2610.8200000000002</v>
      </c>
      <c r="T365" s="28">
        <f t="shared" si="35"/>
        <v>3263.5250000000001</v>
      </c>
      <c r="U365" s="11">
        <f t="shared" si="31"/>
        <v>0.55555555555555558</v>
      </c>
      <c r="V365" s="1" t="str">
        <f t="shared" si="32"/>
        <v>Slow</v>
      </c>
      <c r="W365" s="1" t="str">
        <f t="shared" si="33"/>
        <v>OK</v>
      </c>
    </row>
    <row r="366" spans="1:23">
      <c r="A366" s="1">
        <v>56984</v>
      </c>
      <c r="B366" s="10">
        <v>45830</v>
      </c>
      <c r="C366" s="1">
        <v>3</v>
      </c>
      <c r="D366" s="1" t="s">
        <v>78</v>
      </c>
      <c r="E366" s="1" t="s">
        <v>72</v>
      </c>
      <c r="F366" s="1" t="s">
        <v>98</v>
      </c>
      <c r="G366" s="1" t="s">
        <v>60</v>
      </c>
      <c r="H366" s="1" t="s">
        <v>61</v>
      </c>
      <c r="I366" s="1" t="s">
        <v>153</v>
      </c>
      <c r="J366" s="24">
        <v>7.13</v>
      </c>
      <c r="K366" s="24">
        <v>20.98</v>
      </c>
      <c r="L366" s="28">
        <v>13.85</v>
      </c>
      <c r="M366" s="1">
        <v>14</v>
      </c>
      <c r="N366" s="28">
        <v>293.72000000000003</v>
      </c>
      <c r="O366" s="29">
        <v>0.1</v>
      </c>
      <c r="P366" s="28">
        <v>29.372</v>
      </c>
      <c r="Q366" s="28">
        <v>264.34800000000001</v>
      </c>
      <c r="R366" s="1" t="str">
        <f t="shared" si="30"/>
        <v>Jun</v>
      </c>
      <c r="S366" s="28">
        <f t="shared" si="34"/>
        <v>99.82</v>
      </c>
      <c r="T366" s="28">
        <f t="shared" si="35"/>
        <v>164.52800000000002</v>
      </c>
      <c r="U366" s="11">
        <f t="shared" si="31"/>
        <v>0.62239169579493703</v>
      </c>
      <c r="V366" s="1" t="str">
        <f t="shared" si="32"/>
        <v>Fast</v>
      </c>
      <c r="W366" s="1" t="str">
        <f t="shared" si="33"/>
        <v>OK</v>
      </c>
    </row>
    <row r="367" spans="1:23">
      <c r="A367" s="1">
        <v>56985</v>
      </c>
      <c r="B367" s="10">
        <v>45830</v>
      </c>
      <c r="C367" s="1">
        <v>15</v>
      </c>
      <c r="D367" s="1" t="s">
        <v>57</v>
      </c>
      <c r="E367" s="1" t="s">
        <v>72</v>
      </c>
      <c r="F367" s="1" t="s">
        <v>73</v>
      </c>
      <c r="G367" s="1" t="s">
        <v>60</v>
      </c>
      <c r="H367" s="1" t="s">
        <v>65</v>
      </c>
      <c r="I367" s="1" t="s">
        <v>135</v>
      </c>
      <c r="J367" s="24">
        <v>2.29</v>
      </c>
      <c r="K367" s="24">
        <v>3.58</v>
      </c>
      <c r="L367" s="28">
        <v>1.29</v>
      </c>
      <c r="M367" s="1">
        <v>14</v>
      </c>
      <c r="N367" s="28">
        <v>50.12</v>
      </c>
      <c r="O367" s="29">
        <v>0.05</v>
      </c>
      <c r="P367" s="28">
        <v>2.5059999999999998</v>
      </c>
      <c r="Q367" s="28">
        <v>47.613999999999997</v>
      </c>
      <c r="R367" s="1" t="str">
        <f t="shared" si="30"/>
        <v>Jun</v>
      </c>
      <c r="S367" s="28">
        <f t="shared" si="34"/>
        <v>32.06</v>
      </c>
      <c r="T367" s="28">
        <f t="shared" si="35"/>
        <v>15.553999999999995</v>
      </c>
      <c r="U367" s="11">
        <f t="shared" si="31"/>
        <v>0.32666862687444859</v>
      </c>
      <c r="V367" s="1" t="str">
        <f t="shared" si="32"/>
        <v>Very Slow</v>
      </c>
      <c r="W367" s="1" t="str">
        <f t="shared" si="33"/>
        <v>OK</v>
      </c>
    </row>
    <row r="368" spans="1:23">
      <c r="A368" s="1">
        <v>56986</v>
      </c>
      <c r="B368" s="10">
        <v>45831</v>
      </c>
      <c r="C368" s="1">
        <v>2</v>
      </c>
      <c r="D368" s="1" t="s">
        <v>63</v>
      </c>
      <c r="E368" s="1" t="s">
        <v>67</v>
      </c>
      <c r="F368" s="1" t="s">
        <v>100</v>
      </c>
      <c r="G368" s="1" t="s">
        <v>60</v>
      </c>
      <c r="H368" s="1" t="s">
        <v>90</v>
      </c>
      <c r="I368" s="1" t="s">
        <v>216</v>
      </c>
      <c r="J368" s="24">
        <v>84.22</v>
      </c>
      <c r="K368" s="24">
        <v>210.55</v>
      </c>
      <c r="L368" s="28">
        <v>126.33</v>
      </c>
      <c r="M368" s="1">
        <v>20</v>
      </c>
      <c r="N368" s="28">
        <v>4211</v>
      </c>
      <c r="O368" s="29">
        <v>0.05</v>
      </c>
      <c r="P368" s="28">
        <v>210.55</v>
      </c>
      <c r="Q368" s="28">
        <v>4000.45</v>
      </c>
      <c r="R368" s="1" t="str">
        <f t="shared" si="30"/>
        <v>Jun</v>
      </c>
      <c r="S368" s="28">
        <f t="shared" si="34"/>
        <v>1684.4</v>
      </c>
      <c r="T368" s="28">
        <f t="shared" si="35"/>
        <v>2316.0499999999997</v>
      </c>
      <c r="U368" s="11">
        <f t="shared" si="31"/>
        <v>0.57894736842105254</v>
      </c>
      <c r="V368" s="1" t="str">
        <f t="shared" si="32"/>
        <v>Fast</v>
      </c>
      <c r="W368" s="1" t="str">
        <f t="shared" si="33"/>
        <v>OK</v>
      </c>
    </row>
    <row r="369" spans="1:23">
      <c r="A369" s="1">
        <v>56987</v>
      </c>
      <c r="B369" s="10">
        <v>45831</v>
      </c>
      <c r="C369" s="1">
        <v>15</v>
      </c>
      <c r="D369" s="1" t="s">
        <v>57</v>
      </c>
      <c r="E369" s="1" t="s">
        <v>67</v>
      </c>
      <c r="F369" s="1" t="s">
        <v>64</v>
      </c>
      <c r="G369" s="1" t="s">
        <v>60</v>
      </c>
      <c r="H369" s="1" t="s">
        <v>70</v>
      </c>
      <c r="I369" s="1" t="s">
        <v>95</v>
      </c>
      <c r="J369" s="24">
        <v>1.31</v>
      </c>
      <c r="K369" s="24">
        <v>2.84</v>
      </c>
      <c r="L369" s="28">
        <v>1.53</v>
      </c>
      <c r="M369" s="1">
        <v>55</v>
      </c>
      <c r="N369" s="28">
        <v>156.19999999999999</v>
      </c>
      <c r="O369" s="29">
        <v>0.1</v>
      </c>
      <c r="P369" s="28">
        <v>15.62</v>
      </c>
      <c r="Q369" s="28">
        <v>140.58000000000001</v>
      </c>
      <c r="R369" s="1" t="str">
        <f t="shared" si="30"/>
        <v>Jun</v>
      </c>
      <c r="S369" s="28">
        <f t="shared" si="34"/>
        <v>72.05</v>
      </c>
      <c r="T369" s="28">
        <f t="shared" si="35"/>
        <v>68.530000000000015</v>
      </c>
      <c r="U369" s="11">
        <f t="shared" si="31"/>
        <v>0.48748043818466358</v>
      </c>
      <c r="V369" s="1" t="str">
        <f t="shared" si="32"/>
        <v>Very Slow</v>
      </c>
      <c r="W369" s="1" t="str">
        <f t="shared" si="33"/>
        <v>OK</v>
      </c>
    </row>
    <row r="370" spans="1:23">
      <c r="A370" s="1">
        <v>56988</v>
      </c>
      <c r="B370" s="10">
        <v>45833</v>
      </c>
      <c r="C370" s="1">
        <v>19</v>
      </c>
      <c r="D370" s="1" t="s">
        <v>57</v>
      </c>
      <c r="E370" s="1" t="s">
        <v>67</v>
      </c>
      <c r="F370" s="1" t="s">
        <v>18</v>
      </c>
      <c r="G370" s="1" t="s">
        <v>60</v>
      </c>
      <c r="H370" s="1" t="s">
        <v>68</v>
      </c>
      <c r="I370" s="1" t="s">
        <v>163</v>
      </c>
      <c r="J370" s="24">
        <v>3.52</v>
      </c>
      <c r="K370" s="24">
        <v>5.58</v>
      </c>
      <c r="L370" s="28">
        <v>2.06</v>
      </c>
      <c r="M370" s="1">
        <v>14</v>
      </c>
      <c r="N370" s="28">
        <v>78.12</v>
      </c>
      <c r="O370" s="29">
        <v>0.06</v>
      </c>
      <c r="P370" s="28">
        <v>4.6871999999999998</v>
      </c>
      <c r="Q370" s="28">
        <v>73.4328</v>
      </c>
      <c r="R370" s="1" t="str">
        <f t="shared" si="30"/>
        <v>Jun</v>
      </c>
      <c r="S370" s="28">
        <f t="shared" si="34"/>
        <v>49.28</v>
      </c>
      <c r="T370" s="28">
        <f t="shared" si="35"/>
        <v>24.152799999999999</v>
      </c>
      <c r="U370" s="11">
        <f t="shared" si="31"/>
        <v>0.32891024174483335</v>
      </c>
      <c r="V370" s="1" t="str">
        <f t="shared" si="32"/>
        <v>Very Slow</v>
      </c>
      <c r="W370" s="1" t="str">
        <f t="shared" si="33"/>
        <v>OK</v>
      </c>
    </row>
    <row r="371" spans="1:23">
      <c r="A371" s="1">
        <v>56989</v>
      </c>
      <c r="B371" s="10">
        <v>45833</v>
      </c>
      <c r="C371" s="1">
        <v>22</v>
      </c>
      <c r="D371" s="1" t="s">
        <v>78</v>
      </c>
      <c r="E371" s="1" t="s">
        <v>72</v>
      </c>
      <c r="F371" s="1" t="s">
        <v>59</v>
      </c>
      <c r="G371" s="1" t="s">
        <v>60</v>
      </c>
      <c r="H371" s="1" t="s">
        <v>70</v>
      </c>
      <c r="I371" s="1" t="s">
        <v>107</v>
      </c>
      <c r="J371" s="24">
        <v>13.88</v>
      </c>
      <c r="K371" s="24">
        <v>22.38</v>
      </c>
      <c r="L371" s="28">
        <v>8.4999999999999982</v>
      </c>
      <c r="M371" s="1">
        <v>38</v>
      </c>
      <c r="N371" s="28">
        <v>850.43999999999994</v>
      </c>
      <c r="O371" s="29">
        <v>0.05</v>
      </c>
      <c r="P371" s="28">
        <v>42.521999999999998</v>
      </c>
      <c r="Q371" s="28">
        <v>807.91799999999989</v>
      </c>
      <c r="R371" s="1" t="str">
        <f t="shared" si="30"/>
        <v>Jun</v>
      </c>
      <c r="S371" s="28">
        <f t="shared" si="34"/>
        <v>527.44000000000005</v>
      </c>
      <c r="T371" s="28">
        <f t="shared" si="35"/>
        <v>280.47799999999984</v>
      </c>
      <c r="U371" s="11">
        <f t="shared" si="31"/>
        <v>0.34716146935703857</v>
      </c>
      <c r="V371" s="1" t="str">
        <f t="shared" si="32"/>
        <v>Very Slow</v>
      </c>
      <c r="W371" s="1" t="str">
        <f t="shared" si="33"/>
        <v>OK</v>
      </c>
    </row>
    <row r="372" spans="1:23">
      <c r="A372" s="1">
        <v>56990</v>
      </c>
      <c r="B372" s="10">
        <v>45834</v>
      </c>
      <c r="C372" s="1">
        <v>3</v>
      </c>
      <c r="D372" s="1" t="s">
        <v>57</v>
      </c>
      <c r="E372" s="1" t="s">
        <v>58</v>
      </c>
      <c r="F372" s="1" t="s">
        <v>73</v>
      </c>
      <c r="G372" s="1" t="s">
        <v>60</v>
      </c>
      <c r="H372" s="1" t="s">
        <v>61</v>
      </c>
      <c r="I372" s="1" t="s">
        <v>187</v>
      </c>
      <c r="J372" s="24">
        <v>2.2599999999999998</v>
      </c>
      <c r="K372" s="24">
        <v>3.58</v>
      </c>
      <c r="L372" s="28">
        <v>1.32</v>
      </c>
      <c r="M372" s="1">
        <v>27</v>
      </c>
      <c r="N372" s="28">
        <v>96.66</v>
      </c>
      <c r="O372" s="29">
        <v>0</v>
      </c>
      <c r="P372" s="28">
        <v>0</v>
      </c>
      <c r="Q372" s="28">
        <v>96.66</v>
      </c>
      <c r="R372" s="1" t="str">
        <f t="shared" si="30"/>
        <v>Jun</v>
      </c>
      <c r="S372" s="28">
        <f t="shared" si="34"/>
        <v>61.019999999999996</v>
      </c>
      <c r="T372" s="28">
        <f t="shared" si="35"/>
        <v>35.64</v>
      </c>
      <c r="U372" s="11">
        <f t="shared" si="31"/>
        <v>0.36871508379888268</v>
      </c>
      <c r="V372" s="1" t="str">
        <f t="shared" si="32"/>
        <v>Fast</v>
      </c>
      <c r="W372" s="1" t="str">
        <f t="shared" si="33"/>
        <v>OK</v>
      </c>
    </row>
    <row r="373" spans="1:23">
      <c r="A373" s="1">
        <v>56991</v>
      </c>
      <c r="B373" s="10">
        <v>45834</v>
      </c>
      <c r="C373" s="1">
        <v>2</v>
      </c>
      <c r="D373" s="1" t="s">
        <v>57</v>
      </c>
      <c r="E373" s="1" t="s">
        <v>72</v>
      </c>
      <c r="F373" s="1" t="s">
        <v>73</v>
      </c>
      <c r="G373" s="1" t="s">
        <v>60</v>
      </c>
      <c r="H373" s="1" t="s">
        <v>61</v>
      </c>
      <c r="I373" s="1" t="s">
        <v>164</v>
      </c>
      <c r="J373" s="24">
        <v>0.87</v>
      </c>
      <c r="K373" s="24">
        <v>1.81</v>
      </c>
      <c r="L373" s="28">
        <v>0.94000000000000006</v>
      </c>
      <c r="M373" s="1">
        <v>41</v>
      </c>
      <c r="N373" s="28">
        <v>74.210000000000008</v>
      </c>
      <c r="O373" s="29">
        <v>0.08</v>
      </c>
      <c r="P373" s="28">
        <v>5.9368000000000007</v>
      </c>
      <c r="Q373" s="28">
        <v>68.273200000000003</v>
      </c>
      <c r="R373" s="1" t="str">
        <f t="shared" si="30"/>
        <v>Jun</v>
      </c>
      <c r="S373" s="28">
        <f t="shared" si="34"/>
        <v>35.67</v>
      </c>
      <c r="T373" s="28">
        <f t="shared" si="35"/>
        <v>32.603200000000001</v>
      </c>
      <c r="U373" s="11">
        <f t="shared" si="31"/>
        <v>0.47754023540715829</v>
      </c>
      <c r="V373" s="1" t="str">
        <f t="shared" si="32"/>
        <v>Fast</v>
      </c>
      <c r="W373" s="1" t="str">
        <f t="shared" si="33"/>
        <v>OK</v>
      </c>
    </row>
    <row r="374" spans="1:23">
      <c r="A374" s="1">
        <v>56992</v>
      </c>
      <c r="B374" s="10">
        <v>45836</v>
      </c>
      <c r="C374" s="1">
        <v>16</v>
      </c>
      <c r="D374" s="1" t="s">
        <v>63</v>
      </c>
      <c r="E374" s="1" t="s">
        <v>72</v>
      </c>
      <c r="F374" s="1" t="s">
        <v>18</v>
      </c>
      <c r="G374" s="1" t="s">
        <v>60</v>
      </c>
      <c r="H374" s="1" t="s">
        <v>70</v>
      </c>
      <c r="I374" s="1" t="s">
        <v>119</v>
      </c>
      <c r="J374" s="24">
        <v>1.95</v>
      </c>
      <c r="K374" s="24">
        <v>3.98</v>
      </c>
      <c r="L374" s="28">
        <v>2.0299999999999998</v>
      </c>
      <c r="M374" s="1">
        <v>33</v>
      </c>
      <c r="N374" s="28">
        <v>131.34</v>
      </c>
      <c r="O374" s="29">
        <v>0.06</v>
      </c>
      <c r="P374" s="28">
        <v>7.8803999999999998</v>
      </c>
      <c r="Q374" s="28">
        <v>123.45959999999999</v>
      </c>
      <c r="R374" s="1" t="str">
        <f t="shared" si="30"/>
        <v>Jun</v>
      </c>
      <c r="S374" s="28">
        <f t="shared" si="34"/>
        <v>64.349999999999994</v>
      </c>
      <c r="T374" s="28">
        <f t="shared" si="35"/>
        <v>59.1096</v>
      </c>
      <c r="U374" s="11">
        <f t="shared" si="31"/>
        <v>0.47877686303859729</v>
      </c>
      <c r="V374" s="1" t="str">
        <f t="shared" si="32"/>
        <v>Very Slow</v>
      </c>
      <c r="W374" s="1" t="str">
        <f t="shared" si="33"/>
        <v>OK</v>
      </c>
    </row>
    <row r="375" spans="1:23">
      <c r="A375" s="1">
        <v>56993</v>
      </c>
      <c r="B375" s="10">
        <v>45836</v>
      </c>
      <c r="C375" s="1">
        <v>19</v>
      </c>
      <c r="D375" s="1" t="s">
        <v>57</v>
      </c>
      <c r="E375" s="1" t="s">
        <v>72</v>
      </c>
      <c r="F375" s="1" t="s">
        <v>100</v>
      </c>
      <c r="G375" s="1" t="s">
        <v>60</v>
      </c>
      <c r="H375" s="1" t="s">
        <v>70</v>
      </c>
      <c r="I375" s="1" t="s">
        <v>179</v>
      </c>
      <c r="J375" s="24">
        <v>0.71</v>
      </c>
      <c r="K375" s="24">
        <v>1.1399999999999999</v>
      </c>
      <c r="L375" s="28">
        <v>0.42999999999999988</v>
      </c>
      <c r="M375" s="1">
        <v>18</v>
      </c>
      <c r="N375" s="28">
        <v>20.52</v>
      </c>
      <c r="O375" s="29">
        <v>0.09</v>
      </c>
      <c r="P375" s="28">
        <v>1.8468</v>
      </c>
      <c r="Q375" s="28">
        <v>18.673200000000001</v>
      </c>
      <c r="R375" s="1" t="str">
        <f t="shared" si="30"/>
        <v>Jun</v>
      </c>
      <c r="S375" s="28">
        <f t="shared" si="34"/>
        <v>12.78</v>
      </c>
      <c r="T375" s="28">
        <f t="shared" si="35"/>
        <v>5.893200000000002</v>
      </c>
      <c r="U375" s="11">
        <f t="shared" si="31"/>
        <v>0.31559668401773672</v>
      </c>
      <c r="V375" s="1" t="str">
        <f t="shared" si="32"/>
        <v>Very Slow</v>
      </c>
      <c r="W375" s="1" t="str">
        <f t="shared" si="33"/>
        <v>OK</v>
      </c>
    </row>
    <row r="376" spans="1:23">
      <c r="A376" s="1">
        <v>56994</v>
      </c>
      <c r="B376" s="10">
        <v>45836</v>
      </c>
      <c r="C376" s="1">
        <v>19</v>
      </c>
      <c r="D376" s="1" t="s">
        <v>57</v>
      </c>
      <c r="E376" s="1" t="s">
        <v>67</v>
      </c>
      <c r="F376" s="1" t="s">
        <v>79</v>
      </c>
      <c r="G376" s="1" t="s">
        <v>60</v>
      </c>
      <c r="H376" s="1" t="s">
        <v>70</v>
      </c>
      <c r="I376" s="1" t="s">
        <v>91</v>
      </c>
      <c r="J376" s="24">
        <v>0.93</v>
      </c>
      <c r="K376" s="24">
        <v>1.48</v>
      </c>
      <c r="L376" s="28">
        <v>0.54999999999999993</v>
      </c>
      <c r="M376" s="1">
        <v>37</v>
      </c>
      <c r="N376" s="28">
        <v>54.76</v>
      </c>
      <c r="O376" s="29">
        <v>7.0000000000000007E-2</v>
      </c>
      <c r="P376" s="28">
        <v>3.8332000000000002</v>
      </c>
      <c r="Q376" s="28">
        <v>50.9268</v>
      </c>
      <c r="R376" s="1" t="str">
        <f t="shared" si="30"/>
        <v>Jun</v>
      </c>
      <c r="S376" s="28">
        <f t="shared" si="34"/>
        <v>34.410000000000004</v>
      </c>
      <c r="T376" s="28">
        <f t="shared" si="35"/>
        <v>16.516799999999996</v>
      </c>
      <c r="U376" s="11">
        <f t="shared" si="31"/>
        <v>0.32432432432432423</v>
      </c>
      <c r="V376" s="1" t="str">
        <f t="shared" si="32"/>
        <v>Very Slow</v>
      </c>
      <c r="W376" s="1" t="str">
        <f t="shared" si="33"/>
        <v>OK</v>
      </c>
    </row>
    <row r="377" spans="1:23">
      <c r="A377" s="1">
        <v>56995</v>
      </c>
      <c r="B377" s="10">
        <v>45836</v>
      </c>
      <c r="C377" s="1">
        <v>12</v>
      </c>
      <c r="D377" s="1" t="s">
        <v>57</v>
      </c>
      <c r="E377" s="1" t="s">
        <v>58</v>
      </c>
      <c r="F377" s="1" t="s">
        <v>18</v>
      </c>
      <c r="G377" s="1" t="s">
        <v>60</v>
      </c>
      <c r="H377" s="1" t="s">
        <v>70</v>
      </c>
      <c r="I377" s="1" t="s">
        <v>217</v>
      </c>
      <c r="J377" s="24">
        <v>1.33</v>
      </c>
      <c r="K377" s="24">
        <v>2.08</v>
      </c>
      <c r="L377" s="28">
        <v>0.75</v>
      </c>
      <c r="M377" s="1">
        <v>37</v>
      </c>
      <c r="N377" s="28">
        <v>76.960000000000008</v>
      </c>
      <c r="O377" s="29">
        <v>0</v>
      </c>
      <c r="P377" s="28">
        <v>0</v>
      </c>
      <c r="Q377" s="28">
        <v>76.960000000000008</v>
      </c>
      <c r="R377" s="1" t="str">
        <f t="shared" si="30"/>
        <v>Jun</v>
      </c>
      <c r="S377" s="28">
        <f t="shared" si="34"/>
        <v>49.21</v>
      </c>
      <c r="T377" s="28">
        <f t="shared" si="35"/>
        <v>27.750000000000007</v>
      </c>
      <c r="U377" s="11">
        <f t="shared" si="31"/>
        <v>0.36057692307692313</v>
      </c>
      <c r="V377" s="1" t="str">
        <f t="shared" si="32"/>
        <v>Slow</v>
      </c>
      <c r="W377" s="1" t="str">
        <f t="shared" si="33"/>
        <v>OK</v>
      </c>
    </row>
    <row r="378" spans="1:23">
      <c r="A378" s="1">
        <v>56996</v>
      </c>
      <c r="B378" s="10">
        <v>45837</v>
      </c>
      <c r="C378" s="1">
        <v>12</v>
      </c>
      <c r="D378" s="1" t="s">
        <v>57</v>
      </c>
      <c r="E378" s="1" t="s">
        <v>72</v>
      </c>
      <c r="F378" s="1" t="s">
        <v>84</v>
      </c>
      <c r="G378" s="1" t="s">
        <v>60</v>
      </c>
      <c r="H378" s="1" t="s">
        <v>90</v>
      </c>
      <c r="I378" s="1" t="s">
        <v>216</v>
      </c>
      <c r="J378" s="24">
        <v>84.22</v>
      </c>
      <c r="K378" s="24">
        <v>210.55</v>
      </c>
      <c r="L378" s="28">
        <v>126.33</v>
      </c>
      <c r="M378" s="1">
        <v>5</v>
      </c>
      <c r="N378" s="28">
        <v>1052.75</v>
      </c>
      <c r="O378" s="29">
        <v>0.05</v>
      </c>
      <c r="P378" s="28">
        <v>52.637500000000003</v>
      </c>
      <c r="Q378" s="28">
        <v>1000.1125</v>
      </c>
      <c r="R378" s="1" t="str">
        <f t="shared" si="30"/>
        <v>Jun</v>
      </c>
      <c r="S378" s="28">
        <f t="shared" si="34"/>
        <v>421.1</v>
      </c>
      <c r="T378" s="28">
        <f t="shared" si="35"/>
        <v>579.01249999999993</v>
      </c>
      <c r="U378" s="11">
        <f t="shared" si="31"/>
        <v>0.57894736842105254</v>
      </c>
      <c r="V378" s="1" t="str">
        <f t="shared" si="32"/>
        <v>Slow</v>
      </c>
      <c r="W378" s="1" t="str">
        <f t="shared" si="33"/>
        <v>OK</v>
      </c>
    </row>
    <row r="379" spans="1:23">
      <c r="A379" s="1">
        <v>56997</v>
      </c>
      <c r="B379" s="10">
        <v>45837</v>
      </c>
      <c r="C379" s="1">
        <v>2</v>
      </c>
      <c r="D379" s="1" t="s">
        <v>78</v>
      </c>
      <c r="E379" s="1" t="s">
        <v>72</v>
      </c>
      <c r="F379" s="1" t="s">
        <v>64</v>
      </c>
      <c r="G379" s="1" t="s">
        <v>85</v>
      </c>
      <c r="H379" s="1" t="s">
        <v>65</v>
      </c>
      <c r="I379" s="1" t="s">
        <v>170</v>
      </c>
      <c r="J379" s="24">
        <v>56.16</v>
      </c>
      <c r="K379" s="24">
        <v>136.97999999999999</v>
      </c>
      <c r="L379" s="28">
        <v>80.819999999999993</v>
      </c>
      <c r="M379" s="1">
        <v>48</v>
      </c>
      <c r="N379" s="28">
        <v>6575.0399999999991</v>
      </c>
      <c r="O379" s="29">
        <v>0.08</v>
      </c>
      <c r="P379" s="28">
        <v>526.00319999999988</v>
      </c>
      <c r="Q379" s="28">
        <v>6049.0367999999989</v>
      </c>
      <c r="R379" s="1" t="str">
        <f t="shared" si="30"/>
        <v>Jun</v>
      </c>
      <c r="S379" s="28">
        <f t="shared" si="34"/>
        <v>2695.68</v>
      </c>
      <c r="T379" s="28">
        <f t="shared" si="35"/>
        <v>3353.3567999999991</v>
      </c>
      <c r="U379" s="11">
        <f t="shared" si="31"/>
        <v>0.55436210935268238</v>
      </c>
      <c r="V379" s="1" t="str">
        <f t="shared" si="32"/>
        <v>Fast</v>
      </c>
      <c r="W379" s="1" t="str">
        <f t="shared" si="33"/>
        <v>OK</v>
      </c>
    </row>
    <row r="380" spans="1:23">
      <c r="A380" s="1">
        <v>56998</v>
      </c>
      <c r="B380" s="10">
        <v>45838</v>
      </c>
      <c r="C380" s="1">
        <v>8</v>
      </c>
      <c r="D380" s="1" t="s">
        <v>57</v>
      </c>
      <c r="E380" s="1" t="s">
        <v>72</v>
      </c>
      <c r="F380" s="1" t="s">
        <v>79</v>
      </c>
      <c r="G380" s="1" t="s">
        <v>60</v>
      </c>
      <c r="H380" s="1" t="s">
        <v>61</v>
      </c>
      <c r="I380" s="1" t="s">
        <v>149</v>
      </c>
      <c r="J380" s="24">
        <v>3.52</v>
      </c>
      <c r="K380" s="24">
        <v>5.68</v>
      </c>
      <c r="L380" s="28">
        <v>2.16</v>
      </c>
      <c r="M380" s="1">
        <v>30</v>
      </c>
      <c r="N380" s="28">
        <v>170.4</v>
      </c>
      <c r="O380" s="29">
        <v>0.06</v>
      </c>
      <c r="P380" s="28">
        <v>10.224</v>
      </c>
      <c r="Q380" s="28">
        <v>160.17599999999999</v>
      </c>
      <c r="R380" s="1" t="str">
        <f t="shared" si="30"/>
        <v>Jun</v>
      </c>
      <c r="S380" s="28">
        <f t="shared" si="34"/>
        <v>105.6</v>
      </c>
      <c r="T380" s="28">
        <f t="shared" si="35"/>
        <v>54.575999999999993</v>
      </c>
      <c r="U380" s="11">
        <f t="shared" si="31"/>
        <v>0.34072520227749475</v>
      </c>
      <c r="V380" s="1" t="str">
        <f t="shared" si="32"/>
        <v>Slow</v>
      </c>
      <c r="W380" s="1" t="str">
        <f t="shared" si="33"/>
        <v>OK</v>
      </c>
    </row>
    <row r="381" spans="1:23">
      <c r="A381" s="1">
        <v>56999</v>
      </c>
      <c r="B381" s="10">
        <v>45838</v>
      </c>
      <c r="C381" s="1">
        <v>17</v>
      </c>
      <c r="D381" s="1" t="s">
        <v>57</v>
      </c>
      <c r="E381" s="1" t="s">
        <v>72</v>
      </c>
      <c r="F381" s="1" t="s">
        <v>73</v>
      </c>
      <c r="G381" s="1" t="s">
        <v>60</v>
      </c>
      <c r="H381" s="1" t="s">
        <v>68</v>
      </c>
      <c r="I381" s="1" t="s">
        <v>62</v>
      </c>
      <c r="J381" s="24">
        <v>4.1900000000000004</v>
      </c>
      <c r="K381" s="24">
        <v>10.23</v>
      </c>
      <c r="L381" s="28">
        <v>6.04</v>
      </c>
      <c r="M381" s="1">
        <v>52</v>
      </c>
      <c r="N381" s="28">
        <v>531.96</v>
      </c>
      <c r="O381" s="29">
        <v>0.05</v>
      </c>
      <c r="P381" s="28">
        <v>26.597999999999999</v>
      </c>
      <c r="Q381" s="28">
        <v>505.36200000000002</v>
      </c>
      <c r="R381" s="1" t="str">
        <f t="shared" si="30"/>
        <v>Jun</v>
      </c>
      <c r="S381" s="28">
        <f t="shared" si="34"/>
        <v>217.88000000000002</v>
      </c>
      <c r="T381" s="28">
        <f t="shared" si="35"/>
        <v>287.48199999999997</v>
      </c>
      <c r="U381" s="11">
        <f t="shared" si="31"/>
        <v>0.56886350774296435</v>
      </c>
      <c r="V381" s="1" t="str">
        <f t="shared" si="32"/>
        <v>Very Slow</v>
      </c>
      <c r="W381" s="1" t="str">
        <f t="shared" si="33"/>
        <v>OK</v>
      </c>
    </row>
    <row r="382" spans="1:23">
      <c r="A382" s="1">
        <v>57000</v>
      </c>
      <c r="B382" s="10">
        <v>45838</v>
      </c>
      <c r="C382" s="1">
        <v>6</v>
      </c>
      <c r="D382" s="1" t="s">
        <v>57</v>
      </c>
      <c r="E382" s="1" t="s">
        <v>67</v>
      </c>
      <c r="F382" s="1" t="s">
        <v>73</v>
      </c>
      <c r="G382" s="1" t="s">
        <v>60</v>
      </c>
      <c r="H382" s="1" t="s">
        <v>68</v>
      </c>
      <c r="I382" s="1" t="s">
        <v>133</v>
      </c>
      <c r="J382" s="24">
        <v>3.65</v>
      </c>
      <c r="K382" s="24">
        <v>5.98</v>
      </c>
      <c r="L382" s="28">
        <v>2.330000000000001</v>
      </c>
      <c r="M382" s="1">
        <v>4</v>
      </c>
      <c r="N382" s="28">
        <v>23.92</v>
      </c>
      <c r="O382" s="29">
        <v>7.0000000000000007E-2</v>
      </c>
      <c r="P382" s="28">
        <v>1.6744000000000001</v>
      </c>
      <c r="Q382" s="28">
        <v>22.2456</v>
      </c>
      <c r="R382" s="1" t="str">
        <f t="shared" si="30"/>
        <v>Jun</v>
      </c>
      <c r="S382" s="28">
        <f t="shared" si="34"/>
        <v>14.6</v>
      </c>
      <c r="T382" s="28">
        <f t="shared" si="35"/>
        <v>7.6456</v>
      </c>
      <c r="U382" s="11">
        <f t="shared" si="31"/>
        <v>0.34369043765958213</v>
      </c>
      <c r="V382" s="1" t="str">
        <f t="shared" si="32"/>
        <v>Standard</v>
      </c>
      <c r="W382" s="1" t="str">
        <f t="shared" si="33"/>
        <v>OK</v>
      </c>
    </row>
    <row r="383" spans="1:23">
      <c r="A383" s="1">
        <v>57001</v>
      </c>
      <c r="B383" s="10">
        <v>45839</v>
      </c>
      <c r="C383" s="1">
        <v>20</v>
      </c>
      <c r="D383" s="1" t="s">
        <v>57</v>
      </c>
      <c r="E383" s="1" t="s">
        <v>72</v>
      </c>
      <c r="F383" s="1" t="s">
        <v>64</v>
      </c>
      <c r="G383" s="1" t="s">
        <v>60</v>
      </c>
      <c r="H383" s="1" t="s">
        <v>90</v>
      </c>
      <c r="I383" s="1" t="s">
        <v>218</v>
      </c>
      <c r="J383" s="24">
        <v>1.88</v>
      </c>
      <c r="K383" s="24">
        <v>3.14</v>
      </c>
      <c r="L383" s="28">
        <v>1.26</v>
      </c>
      <c r="M383" s="1">
        <v>41</v>
      </c>
      <c r="N383" s="28">
        <v>128.74</v>
      </c>
      <c r="O383" s="29">
        <v>0</v>
      </c>
      <c r="P383" s="28">
        <v>0</v>
      </c>
      <c r="Q383" s="28">
        <v>128.74</v>
      </c>
      <c r="R383" s="1" t="str">
        <f t="shared" si="30"/>
        <v>Jul</v>
      </c>
      <c r="S383" s="28">
        <f t="shared" si="34"/>
        <v>77.08</v>
      </c>
      <c r="T383" s="28">
        <f t="shared" si="35"/>
        <v>51.660000000000011</v>
      </c>
      <c r="U383" s="11">
        <f t="shared" si="31"/>
        <v>0.40127388535031855</v>
      </c>
      <c r="V383" s="1" t="str">
        <f t="shared" si="32"/>
        <v>Very Slow</v>
      </c>
      <c r="W383" s="1" t="str">
        <f t="shared" si="33"/>
        <v>OK</v>
      </c>
    </row>
    <row r="384" spans="1:23">
      <c r="A384" s="1">
        <v>57002</v>
      </c>
      <c r="B384" s="10">
        <v>45839</v>
      </c>
      <c r="C384" s="1">
        <v>13</v>
      </c>
      <c r="D384" s="1" t="s">
        <v>78</v>
      </c>
      <c r="E384" s="1" t="s">
        <v>72</v>
      </c>
      <c r="F384" s="1" t="s">
        <v>73</v>
      </c>
      <c r="G384" s="1" t="s">
        <v>60</v>
      </c>
      <c r="H384" s="1" t="s">
        <v>68</v>
      </c>
      <c r="I384" s="1" t="s">
        <v>190</v>
      </c>
      <c r="J384" s="24">
        <v>5.22</v>
      </c>
      <c r="K384" s="24">
        <v>9.85</v>
      </c>
      <c r="L384" s="28">
        <v>4.63</v>
      </c>
      <c r="M384" s="1">
        <v>21</v>
      </c>
      <c r="N384" s="28">
        <v>206.85</v>
      </c>
      <c r="O384" s="29">
        <v>0.06</v>
      </c>
      <c r="P384" s="28">
        <v>12.411</v>
      </c>
      <c r="Q384" s="28">
        <v>194.43899999999999</v>
      </c>
      <c r="R384" s="1" t="str">
        <f t="shared" si="30"/>
        <v>Jul</v>
      </c>
      <c r="S384" s="28">
        <f t="shared" si="34"/>
        <v>109.61999999999999</v>
      </c>
      <c r="T384" s="28">
        <f t="shared" si="35"/>
        <v>84.819000000000003</v>
      </c>
      <c r="U384" s="11">
        <f t="shared" si="31"/>
        <v>0.43622421427799979</v>
      </c>
      <c r="V384" s="1" t="str">
        <f t="shared" si="32"/>
        <v>Slow</v>
      </c>
      <c r="W384" s="1" t="str">
        <f t="shared" si="33"/>
        <v>OK</v>
      </c>
    </row>
    <row r="385" spans="1:23">
      <c r="A385" s="1">
        <v>57003</v>
      </c>
      <c r="B385" s="10">
        <v>45840</v>
      </c>
      <c r="C385" s="1">
        <v>19</v>
      </c>
      <c r="D385" s="1" t="s">
        <v>57</v>
      </c>
      <c r="E385" s="1" t="s">
        <v>87</v>
      </c>
      <c r="F385" s="1" t="s">
        <v>59</v>
      </c>
      <c r="G385" s="1" t="s">
        <v>60</v>
      </c>
      <c r="H385" s="1" t="s">
        <v>65</v>
      </c>
      <c r="I385" s="1" t="s">
        <v>141</v>
      </c>
      <c r="J385" s="24">
        <v>2.1800000000000002</v>
      </c>
      <c r="K385" s="24">
        <v>3.52</v>
      </c>
      <c r="L385" s="28">
        <v>1.34</v>
      </c>
      <c r="M385" s="1">
        <v>47</v>
      </c>
      <c r="N385" s="28">
        <v>165.44</v>
      </c>
      <c r="O385" s="29">
        <v>0.04</v>
      </c>
      <c r="P385" s="28">
        <v>6.6176000000000004</v>
      </c>
      <c r="Q385" s="28">
        <v>158.82239999999999</v>
      </c>
      <c r="R385" s="1" t="str">
        <f t="shared" si="30"/>
        <v>Jul</v>
      </c>
      <c r="S385" s="28">
        <f t="shared" si="34"/>
        <v>102.46000000000001</v>
      </c>
      <c r="T385" s="28">
        <f t="shared" si="35"/>
        <v>56.36239999999998</v>
      </c>
      <c r="U385" s="11">
        <f t="shared" si="31"/>
        <v>0.35487689393939381</v>
      </c>
      <c r="V385" s="1" t="str">
        <f t="shared" si="32"/>
        <v>Very Slow</v>
      </c>
      <c r="W385" s="1" t="str">
        <f t="shared" si="33"/>
        <v>OK</v>
      </c>
    </row>
    <row r="386" spans="1:23">
      <c r="A386" s="1">
        <v>57004</v>
      </c>
      <c r="B386" s="10">
        <v>45841</v>
      </c>
      <c r="C386" s="1">
        <v>19</v>
      </c>
      <c r="D386" s="1" t="s">
        <v>57</v>
      </c>
      <c r="E386" s="1" t="s">
        <v>72</v>
      </c>
      <c r="F386" s="1" t="s">
        <v>84</v>
      </c>
      <c r="G386" s="1" t="s">
        <v>60</v>
      </c>
      <c r="H386" s="1" t="s">
        <v>68</v>
      </c>
      <c r="I386" s="1" t="s">
        <v>131</v>
      </c>
      <c r="J386" s="24">
        <v>0.24</v>
      </c>
      <c r="K386" s="24">
        <v>1.26</v>
      </c>
      <c r="L386" s="28">
        <v>1.02</v>
      </c>
      <c r="M386" s="1">
        <v>33</v>
      </c>
      <c r="N386" s="28">
        <v>41.58</v>
      </c>
      <c r="O386" s="29">
        <v>0.06</v>
      </c>
      <c r="P386" s="28">
        <v>2.4948000000000001</v>
      </c>
      <c r="Q386" s="28">
        <v>39.0852</v>
      </c>
      <c r="R386" s="1" t="str">
        <f t="shared" si="30"/>
        <v>Jul</v>
      </c>
      <c r="S386" s="28">
        <f t="shared" si="34"/>
        <v>7.92</v>
      </c>
      <c r="T386" s="28">
        <f t="shared" si="35"/>
        <v>31.165199999999999</v>
      </c>
      <c r="U386" s="11">
        <f t="shared" si="31"/>
        <v>0.79736575481256333</v>
      </c>
      <c r="V386" s="1" t="str">
        <f t="shared" si="32"/>
        <v>Very Slow</v>
      </c>
      <c r="W386" s="1" t="str">
        <f t="shared" si="33"/>
        <v>OK</v>
      </c>
    </row>
    <row r="387" spans="1:23">
      <c r="A387" s="1">
        <v>57005</v>
      </c>
      <c r="B387" s="10">
        <v>45841</v>
      </c>
      <c r="C387" s="1">
        <v>17</v>
      </c>
      <c r="D387" s="1" t="s">
        <v>78</v>
      </c>
      <c r="E387" s="1" t="s">
        <v>87</v>
      </c>
      <c r="F387" s="1" t="s">
        <v>108</v>
      </c>
      <c r="G387" s="1" t="s">
        <v>60</v>
      </c>
      <c r="H387" s="1" t="s">
        <v>90</v>
      </c>
      <c r="I387" s="1" t="s">
        <v>128</v>
      </c>
      <c r="J387" s="24">
        <v>178.83</v>
      </c>
      <c r="K387" s="24">
        <v>415.88</v>
      </c>
      <c r="L387" s="28">
        <v>237.05</v>
      </c>
      <c r="M387" s="1">
        <v>10</v>
      </c>
      <c r="N387" s="28">
        <v>4158.8</v>
      </c>
      <c r="O387" s="29">
        <v>0.06</v>
      </c>
      <c r="P387" s="28">
        <v>249.52799999999999</v>
      </c>
      <c r="Q387" s="28">
        <v>3909.2719999999999</v>
      </c>
      <c r="R387" s="1" t="str">
        <f t="shared" si="30"/>
        <v>Jul</v>
      </c>
      <c r="S387" s="28">
        <f t="shared" si="34"/>
        <v>1788.3000000000002</v>
      </c>
      <c r="T387" s="28">
        <f t="shared" si="35"/>
        <v>2120.9719999999998</v>
      </c>
      <c r="U387" s="11">
        <f t="shared" si="31"/>
        <v>0.54254909865570877</v>
      </c>
      <c r="V387" s="1" t="str">
        <f t="shared" si="32"/>
        <v>Very Slow</v>
      </c>
      <c r="W387" s="1" t="str">
        <f t="shared" si="33"/>
        <v>OK</v>
      </c>
    </row>
    <row r="388" spans="1:23">
      <c r="A388" s="1">
        <v>57006</v>
      </c>
      <c r="B388" s="10">
        <v>45841</v>
      </c>
      <c r="C388" s="1">
        <v>12</v>
      </c>
      <c r="D388" s="1" t="s">
        <v>57</v>
      </c>
      <c r="E388" s="1" t="s">
        <v>58</v>
      </c>
      <c r="F388" s="1" t="s">
        <v>18</v>
      </c>
      <c r="G388" s="1" t="s">
        <v>60</v>
      </c>
      <c r="H388" s="1" t="s">
        <v>61</v>
      </c>
      <c r="I388" s="1" t="s">
        <v>219</v>
      </c>
      <c r="J388" s="24">
        <v>2.76</v>
      </c>
      <c r="K388" s="24">
        <v>4.38</v>
      </c>
      <c r="L388" s="28">
        <v>1.62</v>
      </c>
      <c r="M388" s="1">
        <v>29</v>
      </c>
      <c r="N388" s="28">
        <v>127.02</v>
      </c>
      <c r="O388" s="29">
        <v>0.08</v>
      </c>
      <c r="P388" s="28">
        <v>10.1616</v>
      </c>
      <c r="Q388" s="28">
        <v>116.8584</v>
      </c>
      <c r="R388" s="1" t="str">
        <f t="shared" si="30"/>
        <v>Jul</v>
      </c>
      <c r="S388" s="28">
        <f t="shared" si="34"/>
        <v>80.039999999999992</v>
      </c>
      <c r="T388" s="28">
        <f t="shared" si="35"/>
        <v>36.818400000000011</v>
      </c>
      <c r="U388" s="11">
        <f t="shared" si="31"/>
        <v>0.31506849315068503</v>
      </c>
      <c r="V388" s="1" t="str">
        <f t="shared" si="32"/>
        <v>Slow</v>
      </c>
      <c r="W388" s="1" t="str">
        <f t="shared" si="33"/>
        <v>OK</v>
      </c>
    </row>
    <row r="389" spans="1:23">
      <c r="A389" s="1">
        <v>57007</v>
      </c>
      <c r="B389" s="10">
        <v>45842</v>
      </c>
      <c r="C389" s="1">
        <v>6</v>
      </c>
      <c r="D389" s="1" t="s">
        <v>78</v>
      </c>
      <c r="E389" s="1" t="s">
        <v>58</v>
      </c>
      <c r="F389" s="1" t="s">
        <v>88</v>
      </c>
      <c r="G389" s="1" t="s">
        <v>60</v>
      </c>
      <c r="H389" s="1" t="s">
        <v>61</v>
      </c>
      <c r="I389" s="1" t="s">
        <v>142</v>
      </c>
      <c r="J389" s="24">
        <v>2.29</v>
      </c>
      <c r="K389" s="24">
        <v>3.69</v>
      </c>
      <c r="L389" s="28">
        <v>1.4</v>
      </c>
      <c r="M389" s="1">
        <v>39</v>
      </c>
      <c r="N389" s="28">
        <v>143.91</v>
      </c>
      <c r="O389" s="29">
        <v>0.05</v>
      </c>
      <c r="P389" s="28">
        <v>7.1955</v>
      </c>
      <c r="Q389" s="28">
        <v>136.71449999999999</v>
      </c>
      <c r="R389" s="1" t="str">
        <f t="shared" ref="R389:R452" si="36">TEXT(B389,"mmm")</f>
        <v>Jul</v>
      </c>
      <c r="S389" s="28">
        <f t="shared" si="34"/>
        <v>89.31</v>
      </c>
      <c r="T389" s="28">
        <f t="shared" si="35"/>
        <v>47.404499999999985</v>
      </c>
      <c r="U389" s="11">
        <f t="shared" ref="U389:U452" si="37">IF(Q389=0,0,T389/Q389)</f>
        <v>0.34674083582941084</v>
      </c>
      <c r="V389" s="1" t="str">
        <f t="shared" ref="V389:V452" si="38">IF(C389&lt;=3,"Fast",IF(C389&lt;=7,"Standard",IF(C389&lt;=14,"Slow","Very Slow")))</f>
        <v>Standard</v>
      </c>
      <c r="W389" s="1" t="str">
        <f t="shared" ref="W389:W452" si="39">IF(OR(H389="Not Specifiedd",P389&lt;0),"Review","OK")</f>
        <v>OK</v>
      </c>
    </row>
    <row r="390" spans="1:23">
      <c r="A390" s="1">
        <v>57008</v>
      </c>
      <c r="B390" s="10">
        <v>45842</v>
      </c>
      <c r="C390" s="1">
        <v>21</v>
      </c>
      <c r="D390" s="1" t="s">
        <v>57</v>
      </c>
      <c r="E390" s="1" t="s">
        <v>87</v>
      </c>
      <c r="F390" s="1" t="s">
        <v>59</v>
      </c>
      <c r="G390" s="1" t="s">
        <v>60</v>
      </c>
      <c r="H390" s="1" t="s">
        <v>61</v>
      </c>
      <c r="I390" s="1" t="s">
        <v>217</v>
      </c>
      <c r="J390" s="24">
        <v>1.33</v>
      </c>
      <c r="K390" s="24">
        <v>2.08</v>
      </c>
      <c r="L390" s="28">
        <v>0.75</v>
      </c>
      <c r="M390" s="1">
        <v>46</v>
      </c>
      <c r="N390" s="28">
        <v>95.68</v>
      </c>
      <c r="O390" s="29">
        <v>0.05</v>
      </c>
      <c r="P390" s="28">
        <v>4.7840000000000007</v>
      </c>
      <c r="Q390" s="28">
        <v>90.896000000000001</v>
      </c>
      <c r="R390" s="1" t="str">
        <f t="shared" si="36"/>
        <v>Jul</v>
      </c>
      <c r="S390" s="28">
        <f t="shared" ref="S390:S453" si="40">J390*M390</f>
        <v>61.180000000000007</v>
      </c>
      <c r="T390" s="28">
        <f t="shared" ref="T390:T453" si="41">Q390-S390</f>
        <v>29.715999999999994</v>
      </c>
      <c r="U390" s="11">
        <f t="shared" si="37"/>
        <v>0.32692307692307687</v>
      </c>
      <c r="V390" s="1" t="str">
        <f t="shared" si="38"/>
        <v>Very Slow</v>
      </c>
      <c r="W390" s="1" t="str">
        <f t="shared" si="39"/>
        <v>OK</v>
      </c>
    </row>
    <row r="391" spans="1:23">
      <c r="A391" s="1">
        <v>57009</v>
      </c>
      <c r="B391" s="10">
        <v>45842</v>
      </c>
      <c r="C391" s="1">
        <v>9</v>
      </c>
      <c r="D391" s="1" t="s">
        <v>57</v>
      </c>
      <c r="E391" s="1" t="s">
        <v>67</v>
      </c>
      <c r="F391" s="1" t="s">
        <v>100</v>
      </c>
      <c r="G391" s="1" t="s">
        <v>60</v>
      </c>
      <c r="H391" s="1" t="s">
        <v>90</v>
      </c>
      <c r="I391" s="1" t="s">
        <v>173</v>
      </c>
      <c r="J391" s="24">
        <v>5.19</v>
      </c>
      <c r="K391" s="24">
        <v>12.98</v>
      </c>
      <c r="L391" s="28">
        <v>7.79</v>
      </c>
      <c r="M391" s="1">
        <v>28</v>
      </c>
      <c r="N391" s="28">
        <v>363.44</v>
      </c>
      <c r="O391" s="29">
        <v>0.01</v>
      </c>
      <c r="P391" s="28">
        <v>3.6343999999999999</v>
      </c>
      <c r="Q391" s="28">
        <v>359.80560000000003</v>
      </c>
      <c r="R391" s="1" t="str">
        <f t="shared" si="36"/>
        <v>Jul</v>
      </c>
      <c r="S391" s="28">
        <f t="shared" si="40"/>
        <v>145.32000000000002</v>
      </c>
      <c r="T391" s="28">
        <f t="shared" si="41"/>
        <v>214.48560000000001</v>
      </c>
      <c r="U391" s="11">
        <f t="shared" si="37"/>
        <v>0.59611523556053603</v>
      </c>
      <c r="V391" s="1" t="str">
        <f t="shared" si="38"/>
        <v>Slow</v>
      </c>
      <c r="W391" s="1" t="str">
        <f t="shared" si="39"/>
        <v>OK</v>
      </c>
    </row>
    <row r="392" spans="1:23">
      <c r="A392" s="1">
        <v>57010</v>
      </c>
      <c r="B392" s="10">
        <v>45843</v>
      </c>
      <c r="C392" s="1">
        <v>14</v>
      </c>
      <c r="D392" s="1" t="s">
        <v>78</v>
      </c>
      <c r="E392" s="1" t="s">
        <v>67</v>
      </c>
      <c r="F392" s="1" t="s">
        <v>75</v>
      </c>
      <c r="G392" s="1" t="s">
        <v>60</v>
      </c>
      <c r="H392" s="1" t="s">
        <v>68</v>
      </c>
      <c r="I392" s="1" t="s">
        <v>101</v>
      </c>
      <c r="J392" s="24">
        <v>1.94</v>
      </c>
      <c r="K392" s="24">
        <v>3.08</v>
      </c>
      <c r="L392" s="28">
        <v>1.1399999999999999</v>
      </c>
      <c r="M392" s="1">
        <v>11</v>
      </c>
      <c r="N392" s="28">
        <v>33.880000000000003</v>
      </c>
      <c r="O392" s="29">
        <v>0.01</v>
      </c>
      <c r="P392" s="28">
        <v>0.33879999999999999</v>
      </c>
      <c r="Q392" s="28">
        <v>33.541200000000003</v>
      </c>
      <c r="R392" s="1" t="str">
        <f t="shared" si="36"/>
        <v>Jul</v>
      </c>
      <c r="S392" s="28">
        <f t="shared" si="40"/>
        <v>21.34</v>
      </c>
      <c r="T392" s="28">
        <f t="shared" si="41"/>
        <v>12.201200000000004</v>
      </c>
      <c r="U392" s="11">
        <f t="shared" si="37"/>
        <v>0.36376754558572749</v>
      </c>
      <c r="V392" s="1" t="str">
        <f t="shared" si="38"/>
        <v>Slow</v>
      </c>
      <c r="W392" s="1" t="str">
        <f t="shared" si="39"/>
        <v>OK</v>
      </c>
    </row>
    <row r="393" spans="1:23">
      <c r="A393" s="1">
        <v>57011</v>
      </c>
      <c r="B393" s="10">
        <v>45844</v>
      </c>
      <c r="C393" s="1">
        <v>5</v>
      </c>
      <c r="D393" s="1" t="s">
        <v>78</v>
      </c>
      <c r="E393" s="1" t="s">
        <v>72</v>
      </c>
      <c r="F393" s="1" t="s">
        <v>84</v>
      </c>
      <c r="G393" s="1" t="s">
        <v>60</v>
      </c>
      <c r="H393" s="1" t="s">
        <v>90</v>
      </c>
      <c r="I393" s="1" t="s">
        <v>74</v>
      </c>
      <c r="J393" s="24">
        <v>3.88</v>
      </c>
      <c r="K393" s="24">
        <v>6.47</v>
      </c>
      <c r="L393" s="28">
        <v>2.59</v>
      </c>
      <c r="M393" s="1">
        <v>7</v>
      </c>
      <c r="N393" s="28">
        <v>45.29</v>
      </c>
      <c r="O393" s="29">
        <v>0.02</v>
      </c>
      <c r="P393" s="28">
        <v>0.90580000000000005</v>
      </c>
      <c r="Q393" s="28">
        <v>44.3842</v>
      </c>
      <c r="R393" s="1" t="str">
        <f t="shared" si="36"/>
        <v>Jul</v>
      </c>
      <c r="S393" s="28">
        <f t="shared" si="40"/>
        <v>27.16</v>
      </c>
      <c r="T393" s="28">
        <f t="shared" si="41"/>
        <v>17.2242</v>
      </c>
      <c r="U393" s="11">
        <f t="shared" si="37"/>
        <v>0.38807052960287669</v>
      </c>
      <c r="V393" s="1" t="str">
        <f t="shared" si="38"/>
        <v>Standard</v>
      </c>
      <c r="W393" s="1" t="str">
        <f t="shared" si="39"/>
        <v>OK</v>
      </c>
    </row>
    <row r="394" spans="1:23">
      <c r="A394" s="1">
        <v>57012</v>
      </c>
      <c r="B394" s="10">
        <v>45844</v>
      </c>
      <c r="C394" s="1">
        <v>14</v>
      </c>
      <c r="D394" s="1" t="s">
        <v>63</v>
      </c>
      <c r="E394" s="1" t="s">
        <v>72</v>
      </c>
      <c r="F394" s="1" t="s">
        <v>75</v>
      </c>
      <c r="G394" s="1" t="s">
        <v>60</v>
      </c>
      <c r="H394" s="1" t="s">
        <v>61</v>
      </c>
      <c r="I394" s="1" t="s">
        <v>77</v>
      </c>
      <c r="J394" s="24">
        <v>12.39</v>
      </c>
      <c r="K394" s="24">
        <v>19.98</v>
      </c>
      <c r="L394" s="28">
        <v>7.59</v>
      </c>
      <c r="M394" s="1">
        <v>34</v>
      </c>
      <c r="N394" s="28">
        <v>679.32</v>
      </c>
      <c r="O394" s="29">
        <v>0.09</v>
      </c>
      <c r="P394" s="28">
        <v>61.138800000000003</v>
      </c>
      <c r="Q394" s="28">
        <v>618.18119999999999</v>
      </c>
      <c r="R394" s="1" t="str">
        <f t="shared" si="36"/>
        <v>Jul</v>
      </c>
      <c r="S394" s="28">
        <f t="shared" si="40"/>
        <v>421.26</v>
      </c>
      <c r="T394" s="28">
        <f t="shared" si="41"/>
        <v>196.9212</v>
      </c>
      <c r="U394" s="11">
        <f t="shared" si="37"/>
        <v>0.31854931854931856</v>
      </c>
      <c r="V394" s="1" t="str">
        <f t="shared" si="38"/>
        <v>Slow</v>
      </c>
      <c r="W394" s="1" t="str">
        <f t="shared" si="39"/>
        <v>OK</v>
      </c>
    </row>
    <row r="395" spans="1:23">
      <c r="A395" s="1">
        <v>57013</v>
      </c>
      <c r="B395" s="10">
        <v>45845</v>
      </c>
      <c r="C395" s="1">
        <v>20</v>
      </c>
      <c r="D395" s="1" t="s">
        <v>57</v>
      </c>
      <c r="E395" s="1" t="s">
        <v>72</v>
      </c>
      <c r="F395" s="1" t="s">
        <v>59</v>
      </c>
      <c r="G395" s="1" t="s">
        <v>60</v>
      </c>
      <c r="H395" s="1" t="s">
        <v>61</v>
      </c>
      <c r="I395" s="1" t="s">
        <v>182</v>
      </c>
      <c r="J395" s="24">
        <v>1.19</v>
      </c>
      <c r="K395" s="24">
        <v>1.98</v>
      </c>
      <c r="L395" s="28">
        <v>0.79</v>
      </c>
      <c r="M395" s="1">
        <v>24</v>
      </c>
      <c r="N395" s="28">
        <v>47.52</v>
      </c>
      <c r="O395" s="29">
        <v>0.09</v>
      </c>
      <c r="P395" s="28">
        <v>4.2767999999999997</v>
      </c>
      <c r="Q395" s="28">
        <v>43.243199999999987</v>
      </c>
      <c r="R395" s="1" t="str">
        <f t="shared" si="36"/>
        <v>Jul</v>
      </c>
      <c r="S395" s="28">
        <f t="shared" si="40"/>
        <v>28.56</v>
      </c>
      <c r="T395" s="28">
        <f t="shared" si="41"/>
        <v>14.683199999999989</v>
      </c>
      <c r="U395" s="11">
        <f t="shared" si="37"/>
        <v>0.33954933954933941</v>
      </c>
      <c r="V395" s="1" t="str">
        <f t="shared" si="38"/>
        <v>Very Slow</v>
      </c>
      <c r="W395" s="1" t="str">
        <f t="shared" si="39"/>
        <v>OK</v>
      </c>
    </row>
    <row r="396" spans="1:23">
      <c r="A396" s="1">
        <v>57014</v>
      </c>
      <c r="B396" s="10">
        <v>45845</v>
      </c>
      <c r="C396" s="1">
        <v>8</v>
      </c>
      <c r="D396" s="1" t="s">
        <v>78</v>
      </c>
      <c r="E396" s="1" t="s">
        <v>67</v>
      </c>
      <c r="F396" s="1" t="s">
        <v>18</v>
      </c>
      <c r="G396" s="1" t="s">
        <v>81</v>
      </c>
      <c r="H396" s="1" t="s">
        <v>70</v>
      </c>
      <c r="I396" s="1" t="s">
        <v>166</v>
      </c>
      <c r="J396" s="24">
        <v>20.18</v>
      </c>
      <c r="K396" s="24">
        <v>35.409999999999997</v>
      </c>
      <c r="L396" s="28">
        <v>15.23</v>
      </c>
      <c r="M396" s="1">
        <v>1</v>
      </c>
      <c r="N396" s="28">
        <v>35.409999999999997</v>
      </c>
      <c r="O396" s="29">
        <v>0.1</v>
      </c>
      <c r="P396" s="28">
        <v>3.5409999999999999</v>
      </c>
      <c r="Q396" s="28">
        <v>31.869</v>
      </c>
      <c r="R396" s="1" t="str">
        <f t="shared" si="36"/>
        <v>Jul</v>
      </c>
      <c r="S396" s="28">
        <f t="shared" si="40"/>
        <v>20.18</v>
      </c>
      <c r="T396" s="28">
        <f t="shared" si="41"/>
        <v>11.689</v>
      </c>
      <c r="U396" s="11">
        <f t="shared" si="37"/>
        <v>0.36678276695221063</v>
      </c>
      <c r="V396" s="1" t="str">
        <f t="shared" si="38"/>
        <v>Slow</v>
      </c>
      <c r="W396" s="1" t="str">
        <f t="shared" si="39"/>
        <v>OK</v>
      </c>
    </row>
    <row r="397" spans="1:23">
      <c r="A397" s="1">
        <v>57015</v>
      </c>
      <c r="B397" s="10">
        <v>45845</v>
      </c>
      <c r="C397" s="1">
        <v>15</v>
      </c>
      <c r="D397" s="1" t="s">
        <v>78</v>
      </c>
      <c r="E397" s="1" t="s">
        <v>72</v>
      </c>
      <c r="F397" s="1" t="s">
        <v>100</v>
      </c>
      <c r="G397" s="1" t="s">
        <v>60</v>
      </c>
      <c r="H397" s="1" t="s">
        <v>61</v>
      </c>
      <c r="I397" s="1" t="s">
        <v>173</v>
      </c>
      <c r="J397" s="24">
        <v>5.19</v>
      </c>
      <c r="K397" s="24">
        <v>12.98</v>
      </c>
      <c r="L397" s="28">
        <v>7.79</v>
      </c>
      <c r="M397" s="1">
        <v>19</v>
      </c>
      <c r="N397" s="28">
        <v>246.62</v>
      </c>
      <c r="O397" s="29">
        <v>0.04</v>
      </c>
      <c r="P397" s="28">
        <v>9.8648000000000007</v>
      </c>
      <c r="Q397" s="28">
        <v>236.7552</v>
      </c>
      <c r="R397" s="1" t="str">
        <f t="shared" si="36"/>
        <v>Jul</v>
      </c>
      <c r="S397" s="28">
        <f t="shared" si="40"/>
        <v>98.610000000000014</v>
      </c>
      <c r="T397" s="28">
        <f t="shared" si="41"/>
        <v>138.14519999999999</v>
      </c>
      <c r="U397" s="11">
        <f t="shared" si="37"/>
        <v>0.58349383667180277</v>
      </c>
      <c r="V397" s="1" t="str">
        <f t="shared" si="38"/>
        <v>Very Slow</v>
      </c>
      <c r="W397" s="1" t="str">
        <f t="shared" si="39"/>
        <v>OK</v>
      </c>
    </row>
    <row r="398" spans="1:23">
      <c r="A398" s="1">
        <v>57016</v>
      </c>
      <c r="B398" s="10">
        <v>45846</v>
      </c>
      <c r="C398" s="1">
        <v>12</v>
      </c>
      <c r="D398" s="1" t="s">
        <v>78</v>
      </c>
      <c r="E398" s="1" t="s">
        <v>87</v>
      </c>
      <c r="F398" s="1" t="s">
        <v>59</v>
      </c>
      <c r="G398" s="1" t="s">
        <v>60</v>
      </c>
      <c r="H398" s="1" t="s">
        <v>61</v>
      </c>
      <c r="I398" s="1" t="s">
        <v>122</v>
      </c>
      <c r="J398" s="24">
        <v>14.95</v>
      </c>
      <c r="K398" s="24">
        <v>34.76</v>
      </c>
      <c r="L398" s="28">
        <v>19.809999999999999</v>
      </c>
      <c r="M398" s="1">
        <v>10</v>
      </c>
      <c r="N398" s="28">
        <v>347.6</v>
      </c>
      <c r="O398" s="29">
        <v>0</v>
      </c>
      <c r="P398" s="28">
        <v>0</v>
      </c>
      <c r="Q398" s="28">
        <v>347.6</v>
      </c>
      <c r="R398" s="1" t="str">
        <f t="shared" si="36"/>
        <v>Jul</v>
      </c>
      <c r="S398" s="28">
        <f t="shared" si="40"/>
        <v>149.5</v>
      </c>
      <c r="T398" s="28">
        <f t="shared" si="41"/>
        <v>198.10000000000002</v>
      </c>
      <c r="U398" s="11">
        <f t="shared" si="37"/>
        <v>0.5699079401611048</v>
      </c>
      <c r="V398" s="1" t="str">
        <f t="shared" si="38"/>
        <v>Slow</v>
      </c>
      <c r="W398" s="1" t="str">
        <f t="shared" si="39"/>
        <v>OK</v>
      </c>
    </row>
    <row r="399" spans="1:23">
      <c r="A399" s="1">
        <v>57017</v>
      </c>
      <c r="B399" s="10">
        <v>45846</v>
      </c>
      <c r="C399" s="1">
        <v>11</v>
      </c>
      <c r="D399" s="1" t="s">
        <v>57</v>
      </c>
      <c r="E399" s="1" t="s">
        <v>72</v>
      </c>
      <c r="F399" s="1" t="s">
        <v>73</v>
      </c>
      <c r="G399" s="1" t="s">
        <v>60</v>
      </c>
      <c r="H399" s="1" t="s">
        <v>65</v>
      </c>
      <c r="I399" s="1" t="s">
        <v>194</v>
      </c>
      <c r="J399" s="24">
        <v>1.84</v>
      </c>
      <c r="K399" s="24">
        <v>2.88</v>
      </c>
      <c r="L399" s="28">
        <v>1.04</v>
      </c>
      <c r="M399" s="1">
        <v>17</v>
      </c>
      <c r="N399" s="28">
        <v>48.96</v>
      </c>
      <c r="O399" s="29">
        <v>0.05</v>
      </c>
      <c r="P399" s="28">
        <v>2.448</v>
      </c>
      <c r="Q399" s="28">
        <v>46.512</v>
      </c>
      <c r="R399" s="1" t="str">
        <f t="shared" si="36"/>
        <v>Jul</v>
      </c>
      <c r="S399" s="28">
        <f t="shared" si="40"/>
        <v>31.28</v>
      </c>
      <c r="T399" s="28">
        <f t="shared" si="41"/>
        <v>15.231999999999999</v>
      </c>
      <c r="U399" s="11">
        <f t="shared" si="37"/>
        <v>0.32748538011695905</v>
      </c>
      <c r="V399" s="1" t="str">
        <f t="shared" si="38"/>
        <v>Slow</v>
      </c>
      <c r="W399" s="1" t="str">
        <f t="shared" si="39"/>
        <v>OK</v>
      </c>
    </row>
    <row r="400" spans="1:23">
      <c r="A400" s="1">
        <v>57018</v>
      </c>
      <c r="B400" s="10">
        <v>45847</v>
      </c>
      <c r="C400" s="1">
        <v>14</v>
      </c>
      <c r="D400" s="1" t="s">
        <v>78</v>
      </c>
      <c r="E400" s="1" t="s">
        <v>87</v>
      </c>
      <c r="F400" s="1" t="s">
        <v>64</v>
      </c>
      <c r="G400" s="1" t="s">
        <v>60</v>
      </c>
      <c r="H400" s="1" t="s">
        <v>68</v>
      </c>
      <c r="I400" s="1" t="s">
        <v>89</v>
      </c>
      <c r="J400" s="24">
        <v>1.76</v>
      </c>
      <c r="K400" s="24">
        <v>2.94</v>
      </c>
      <c r="L400" s="28">
        <v>1.18</v>
      </c>
      <c r="M400" s="1">
        <v>27</v>
      </c>
      <c r="N400" s="28">
        <v>79.38</v>
      </c>
      <c r="O400" s="29">
        <v>0.04</v>
      </c>
      <c r="P400" s="28">
        <v>3.1751999999999998</v>
      </c>
      <c r="Q400" s="28">
        <v>76.204799999999992</v>
      </c>
      <c r="R400" s="1" t="str">
        <f t="shared" si="36"/>
        <v>Jul</v>
      </c>
      <c r="S400" s="28">
        <f t="shared" si="40"/>
        <v>47.52</v>
      </c>
      <c r="T400" s="28">
        <f t="shared" si="41"/>
        <v>28.684799999999989</v>
      </c>
      <c r="U400" s="11">
        <f t="shared" si="37"/>
        <v>0.3764172335600906</v>
      </c>
      <c r="V400" s="1" t="str">
        <f t="shared" si="38"/>
        <v>Slow</v>
      </c>
      <c r="W400" s="1" t="str">
        <f t="shared" si="39"/>
        <v>OK</v>
      </c>
    </row>
    <row r="401" spans="1:23">
      <c r="A401" s="1">
        <v>57019</v>
      </c>
      <c r="B401" s="10">
        <v>45847</v>
      </c>
      <c r="C401" s="1">
        <v>16</v>
      </c>
      <c r="D401" s="1" t="s">
        <v>63</v>
      </c>
      <c r="E401" s="1" t="s">
        <v>58</v>
      </c>
      <c r="F401" s="1" t="s">
        <v>59</v>
      </c>
      <c r="G401" s="1" t="s">
        <v>60</v>
      </c>
      <c r="H401" s="1" t="s">
        <v>90</v>
      </c>
      <c r="I401" s="1" t="s">
        <v>194</v>
      </c>
      <c r="J401" s="24">
        <v>1.84</v>
      </c>
      <c r="K401" s="24">
        <v>2.88</v>
      </c>
      <c r="L401" s="28">
        <v>1.04</v>
      </c>
      <c r="M401" s="1">
        <v>29</v>
      </c>
      <c r="N401" s="28">
        <v>83.52</v>
      </c>
      <c r="O401" s="29">
        <v>0.08</v>
      </c>
      <c r="P401" s="28">
        <v>6.6816000000000004</v>
      </c>
      <c r="Q401" s="28">
        <v>76.838399999999993</v>
      </c>
      <c r="R401" s="1" t="str">
        <f t="shared" si="36"/>
        <v>Jul</v>
      </c>
      <c r="S401" s="28">
        <f t="shared" si="40"/>
        <v>53.36</v>
      </c>
      <c r="T401" s="28">
        <f t="shared" si="41"/>
        <v>23.478399999999993</v>
      </c>
      <c r="U401" s="11">
        <f t="shared" si="37"/>
        <v>0.30555555555555552</v>
      </c>
      <c r="V401" s="1" t="str">
        <f t="shared" si="38"/>
        <v>Very Slow</v>
      </c>
      <c r="W401" s="1" t="str">
        <f t="shared" si="39"/>
        <v>OK</v>
      </c>
    </row>
    <row r="402" spans="1:23">
      <c r="A402" s="1">
        <v>57020</v>
      </c>
      <c r="B402" s="10">
        <v>45847</v>
      </c>
      <c r="C402" s="1">
        <v>3</v>
      </c>
      <c r="D402" s="1" t="s">
        <v>57</v>
      </c>
      <c r="E402" s="1" t="s">
        <v>87</v>
      </c>
      <c r="F402" s="1" t="s">
        <v>59</v>
      </c>
      <c r="G402" s="1" t="s">
        <v>81</v>
      </c>
      <c r="H402" s="1" t="s">
        <v>65</v>
      </c>
      <c r="I402" s="1" t="s">
        <v>166</v>
      </c>
      <c r="J402" s="24">
        <v>20.18</v>
      </c>
      <c r="K402" s="24">
        <v>35.409999999999997</v>
      </c>
      <c r="L402" s="28">
        <v>15.23</v>
      </c>
      <c r="M402" s="1">
        <v>46</v>
      </c>
      <c r="N402" s="28">
        <v>1628.86</v>
      </c>
      <c r="O402" s="29">
        <v>0.02</v>
      </c>
      <c r="P402" s="28">
        <v>32.577199999999998</v>
      </c>
      <c r="Q402" s="28">
        <v>1596.2828</v>
      </c>
      <c r="R402" s="1" t="str">
        <f t="shared" si="36"/>
        <v>Jul</v>
      </c>
      <c r="S402" s="28">
        <f t="shared" si="40"/>
        <v>928.28</v>
      </c>
      <c r="T402" s="28">
        <f t="shared" si="41"/>
        <v>668.00279999999998</v>
      </c>
      <c r="U402" s="11">
        <f t="shared" si="37"/>
        <v>0.41847396964998934</v>
      </c>
      <c r="V402" s="1" t="str">
        <f t="shared" si="38"/>
        <v>Fast</v>
      </c>
      <c r="W402" s="1" t="str">
        <f t="shared" si="39"/>
        <v>OK</v>
      </c>
    </row>
    <row r="403" spans="1:23">
      <c r="A403" s="1">
        <v>57021</v>
      </c>
      <c r="B403" s="10">
        <v>45847</v>
      </c>
      <c r="C403" s="1">
        <v>21</v>
      </c>
      <c r="D403" s="1" t="s">
        <v>78</v>
      </c>
      <c r="E403" s="1" t="s">
        <v>87</v>
      </c>
      <c r="F403" s="1" t="s">
        <v>96</v>
      </c>
      <c r="G403" s="1" t="s">
        <v>81</v>
      </c>
      <c r="H403" s="1" t="s">
        <v>65</v>
      </c>
      <c r="I403" s="1" t="s">
        <v>115</v>
      </c>
      <c r="J403" s="24">
        <v>81.59</v>
      </c>
      <c r="K403" s="24">
        <v>159.99</v>
      </c>
      <c r="L403" s="28">
        <v>78.400000000000006</v>
      </c>
      <c r="M403" s="1">
        <v>17</v>
      </c>
      <c r="N403" s="28">
        <v>2719.83</v>
      </c>
      <c r="O403" s="29">
        <v>0.1</v>
      </c>
      <c r="P403" s="28">
        <v>271.983</v>
      </c>
      <c r="Q403" s="28">
        <v>2447.8470000000002</v>
      </c>
      <c r="R403" s="1" t="str">
        <f t="shared" si="36"/>
        <v>Jul</v>
      </c>
      <c r="S403" s="28">
        <f t="shared" si="40"/>
        <v>1387.03</v>
      </c>
      <c r="T403" s="28">
        <f t="shared" si="41"/>
        <v>1060.8170000000002</v>
      </c>
      <c r="U403" s="11">
        <f t="shared" si="37"/>
        <v>0.4333673632379802</v>
      </c>
      <c r="V403" s="1" t="str">
        <f t="shared" si="38"/>
        <v>Very Slow</v>
      </c>
      <c r="W403" s="1" t="str">
        <f t="shared" si="39"/>
        <v>OK</v>
      </c>
    </row>
    <row r="404" spans="1:23">
      <c r="A404" s="1">
        <v>57022</v>
      </c>
      <c r="B404" s="10">
        <v>45847</v>
      </c>
      <c r="C404" s="1">
        <v>1</v>
      </c>
      <c r="D404" s="1" t="s">
        <v>63</v>
      </c>
      <c r="E404" s="1" t="s">
        <v>87</v>
      </c>
      <c r="F404" s="1" t="s">
        <v>59</v>
      </c>
      <c r="G404" s="1" t="s">
        <v>85</v>
      </c>
      <c r="H404" s="1" t="s">
        <v>68</v>
      </c>
      <c r="I404" s="1" t="s">
        <v>86</v>
      </c>
      <c r="J404" s="24">
        <v>5.5</v>
      </c>
      <c r="K404" s="24">
        <v>12.22</v>
      </c>
      <c r="L404" s="28">
        <v>6.7200000000000006</v>
      </c>
      <c r="M404" s="1">
        <v>19</v>
      </c>
      <c r="N404" s="28">
        <v>232.18</v>
      </c>
      <c r="O404" s="29">
        <v>0.04</v>
      </c>
      <c r="P404" s="28">
        <v>9.2872000000000003</v>
      </c>
      <c r="Q404" s="28">
        <v>222.89279999999999</v>
      </c>
      <c r="R404" s="1" t="str">
        <f t="shared" si="36"/>
        <v>Jul</v>
      </c>
      <c r="S404" s="28">
        <f t="shared" si="40"/>
        <v>104.5</v>
      </c>
      <c r="T404" s="28">
        <f t="shared" si="41"/>
        <v>118.39279999999999</v>
      </c>
      <c r="U404" s="11">
        <f t="shared" si="37"/>
        <v>0.53116475722858703</v>
      </c>
      <c r="V404" s="1" t="str">
        <f t="shared" si="38"/>
        <v>Fast</v>
      </c>
      <c r="W404" s="1" t="str">
        <f t="shared" si="39"/>
        <v>OK</v>
      </c>
    </row>
    <row r="405" spans="1:23">
      <c r="A405" s="1">
        <v>57023</v>
      </c>
      <c r="B405" s="10">
        <v>45847</v>
      </c>
      <c r="C405" s="1">
        <v>20</v>
      </c>
      <c r="D405" s="1" t="s">
        <v>78</v>
      </c>
      <c r="E405" s="1" t="s">
        <v>87</v>
      </c>
      <c r="F405" s="1" t="s">
        <v>100</v>
      </c>
      <c r="G405" s="1" t="s">
        <v>60</v>
      </c>
      <c r="H405" s="1" t="s">
        <v>70</v>
      </c>
      <c r="I405" s="1" t="s">
        <v>151</v>
      </c>
      <c r="J405" s="24">
        <v>2.31</v>
      </c>
      <c r="K405" s="24">
        <v>3.78</v>
      </c>
      <c r="L405" s="28">
        <v>1.47</v>
      </c>
      <c r="M405" s="1">
        <v>17</v>
      </c>
      <c r="N405" s="28">
        <v>64.259999999999991</v>
      </c>
      <c r="O405" s="29">
        <v>0.03</v>
      </c>
      <c r="P405" s="28">
        <v>1.9278</v>
      </c>
      <c r="Q405" s="28">
        <v>62.332199999999993</v>
      </c>
      <c r="R405" s="1" t="str">
        <f t="shared" si="36"/>
        <v>Jul</v>
      </c>
      <c r="S405" s="28">
        <f t="shared" si="40"/>
        <v>39.270000000000003</v>
      </c>
      <c r="T405" s="28">
        <f t="shared" si="41"/>
        <v>23.06219999999999</v>
      </c>
      <c r="U405" s="11">
        <f t="shared" si="37"/>
        <v>0.36998854524627711</v>
      </c>
      <c r="V405" s="1" t="str">
        <f t="shared" si="38"/>
        <v>Very Slow</v>
      </c>
      <c r="W405" s="1" t="str">
        <f t="shared" si="39"/>
        <v>OK</v>
      </c>
    </row>
    <row r="406" spans="1:23">
      <c r="A406" s="1">
        <v>57024</v>
      </c>
      <c r="B406" s="10">
        <v>45849</v>
      </c>
      <c r="C406" s="1">
        <v>18</v>
      </c>
      <c r="D406" s="1" t="s">
        <v>57</v>
      </c>
      <c r="E406" s="1" t="s">
        <v>72</v>
      </c>
      <c r="F406" s="1" t="s">
        <v>73</v>
      </c>
      <c r="G406" s="1" t="s">
        <v>85</v>
      </c>
      <c r="H406" s="1" t="s">
        <v>65</v>
      </c>
      <c r="I406" s="1" t="s">
        <v>86</v>
      </c>
      <c r="J406" s="24">
        <v>5.5</v>
      </c>
      <c r="K406" s="24">
        <v>12.22</v>
      </c>
      <c r="L406" s="28">
        <v>6.7200000000000006</v>
      </c>
      <c r="M406" s="1">
        <v>11</v>
      </c>
      <c r="N406" s="28">
        <v>134.41999999999999</v>
      </c>
      <c r="O406" s="29">
        <v>0.01</v>
      </c>
      <c r="P406" s="28">
        <v>1.3442000000000001</v>
      </c>
      <c r="Q406" s="28">
        <v>133.07579999999999</v>
      </c>
      <c r="R406" s="1" t="str">
        <f t="shared" si="36"/>
        <v>Jul</v>
      </c>
      <c r="S406" s="28">
        <f t="shared" si="40"/>
        <v>60.5</v>
      </c>
      <c r="T406" s="28">
        <f t="shared" si="41"/>
        <v>72.575799999999987</v>
      </c>
      <c r="U406" s="11">
        <f t="shared" si="37"/>
        <v>0.54537188579741769</v>
      </c>
      <c r="V406" s="1" t="str">
        <f t="shared" si="38"/>
        <v>Very Slow</v>
      </c>
      <c r="W406" s="1" t="str">
        <f t="shared" si="39"/>
        <v>OK</v>
      </c>
    </row>
    <row r="407" spans="1:23">
      <c r="A407" s="1">
        <v>57025</v>
      </c>
      <c r="B407" s="10">
        <v>45849</v>
      </c>
      <c r="C407" s="1">
        <v>16</v>
      </c>
      <c r="D407" s="1" t="s">
        <v>63</v>
      </c>
      <c r="E407" s="1" t="s">
        <v>58</v>
      </c>
      <c r="F407" s="1" t="s">
        <v>75</v>
      </c>
      <c r="G407" s="1" t="s">
        <v>60</v>
      </c>
      <c r="H407" s="1" t="s">
        <v>65</v>
      </c>
      <c r="I407" s="1" t="s">
        <v>189</v>
      </c>
      <c r="J407" s="24">
        <v>52.07</v>
      </c>
      <c r="K407" s="24">
        <v>83.98</v>
      </c>
      <c r="L407" s="28">
        <v>31.91</v>
      </c>
      <c r="M407" s="1">
        <v>40</v>
      </c>
      <c r="N407" s="28">
        <v>3359.2</v>
      </c>
      <c r="O407" s="29">
        <v>0.06</v>
      </c>
      <c r="P407" s="28">
        <v>201.55199999999999</v>
      </c>
      <c r="Q407" s="28">
        <v>3157.6480000000001</v>
      </c>
      <c r="R407" s="1" t="str">
        <f t="shared" si="36"/>
        <v>Jul</v>
      </c>
      <c r="S407" s="28">
        <f t="shared" si="40"/>
        <v>2082.8000000000002</v>
      </c>
      <c r="T407" s="28">
        <f t="shared" si="41"/>
        <v>1074.848</v>
      </c>
      <c r="U407" s="11">
        <f t="shared" si="37"/>
        <v>0.34039512953945467</v>
      </c>
      <c r="V407" s="1" t="str">
        <f t="shared" si="38"/>
        <v>Very Slow</v>
      </c>
      <c r="W407" s="1" t="str">
        <f t="shared" si="39"/>
        <v>OK</v>
      </c>
    </row>
    <row r="408" spans="1:23">
      <c r="A408" s="1">
        <v>57026</v>
      </c>
      <c r="B408" s="10">
        <v>45849</v>
      </c>
      <c r="C408" s="1">
        <v>17</v>
      </c>
      <c r="D408" s="1" t="s">
        <v>57</v>
      </c>
      <c r="E408" s="1" t="s">
        <v>72</v>
      </c>
      <c r="F408" s="1" t="s">
        <v>73</v>
      </c>
      <c r="G408" s="1" t="s">
        <v>60</v>
      </c>
      <c r="H408" s="1" t="s">
        <v>65</v>
      </c>
      <c r="I408" s="1" t="s">
        <v>122</v>
      </c>
      <c r="J408" s="24">
        <v>14.95</v>
      </c>
      <c r="K408" s="24">
        <v>34.76</v>
      </c>
      <c r="L408" s="28">
        <v>19.809999999999999</v>
      </c>
      <c r="M408" s="1">
        <v>52</v>
      </c>
      <c r="N408" s="28">
        <v>1807.52</v>
      </c>
      <c r="O408" s="29">
        <v>0.09</v>
      </c>
      <c r="P408" s="28">
        <v>162.67679999999999</v>
      </c>
      <c r="Q408" s="28">
        <v>1644.8432</v>
      </c>
      <c r="R408" s="1" t="str">
        <f t="shared" si="36"/>
        <v>Jul</v>
      </c>
      <c r="S408" s="28">
        <f t="shared" si="40"/>
        <v>777.4</v>
      </c>
      <c r="T408" s="28">
        <f t="shared" si="41"/>
        <v>867.44320000000005</v>
      </c>
      <c r="U408" s="11">
        <f t="shared" si="37"/>
        <v>0.52737136281440078</v>
      </c>
      <c r="V408" s="1" t="str">
        <f t="shared" si="38"/>
        <v>Very Slow</v>
      </c>
      <c r="W408" s="1" t="str">
        <f t="shared" si="39"/>
        <v>OK</v>
      </c>
    </row>
    <row r="409" spans="1:23">
      <c r="A409" s="1">
        <v>57027</v>
      </c>
      <c r="B409" s="10">
        <v>45849</v>
      </c>
      <c r="C409" s="1">
        <v>22</v>
      </c>
      <c r="D409" s="1" t="s">
        <v>78</v>
      </c>
      <c r="E409" s="1" t="s">
        <v>58</v>
      </c>
      <c r="F409" s="1" t="s">
        <v>98</v>
      </c>
      <c r="G409" s="1" t="s">
        <v>60</v>
      </c>
      <c r="H409" s="1" t="s">
        <v>65</v>
      </c>
      <c r="I409" s="1" t="s">
        <v>151</v>
      </c>
      <c r="J409" s="24">
        <v>2.31</v>
      </c>
      <c r="K409" s="24">
        <v>3.78</v>
      </c>
      <c r="L409" s="28">
        <v>1.47</v>
      </c>
      <c r="M409" s="1">
        <v>17</v>
      </c>
      <c r="N409" s="28">
        <v>64.259999999999991</v>
      </c>
      <c r="O409" s="29">
        <v>0.03</v>
      </c>
      <c r="P409" s="28">
        <v>1.9278</v>
      </c>
      <c r="Q409" s="28">
        <v>62.332199999999993</v>
      </c>
      <c r="R409" s="1" t="str">
        <f t="shared" si="36"/>
        <v>Jul</v>
      </c>
      <c r="S409" s="28">
        <f t="shared" si="40"/>
        <v>39.270000000000003</v>
      </c>
      <c r="T409" s="28">
        <f t="shared" si="41"/>
        <v>23.06219999999999</v>
      </c>
      <c r="U409" s="11">
        <f t="shared" si="37"/>
        <v>0.36998854524627711</v>
      </c>
      <c r="V409" s="1" t="str">
        <f t="shared" si="38"/>
        <v>Very Slow</v>
      </c>
      <c r="W409" s="1" t="str">
        <f t="shared" si="39"/>
        <v>OK</v>
      </c>
    </row>
    <row r="410" spans="1:23">
      <c r="A410" s="1">
        <v>57028</v>
      </c>
      <c r="B410" s="10">
        <v>45850</v>
      </c>
      <c r="C410" s="1">
        <v>1</v>
      </c>
      <c r="D410" s="1" t="s">
        <v>78</v>
      </c>
      <c r="E410" s="1" t="s">
        <v>67</v>
      </c>
      <c r="F410" s="1" t="s">
        <v>73</v>
      </c>
      <c r="G410" s="1" t="s">
        <v>60</v>
      </c>
      <c r="H410" s="1" t="s">
        <v>68</v>
      </c>
      <c r="I410" s="1" t="s">
        <v>80</v>
      </c>
      <c r="J410" s="24">
        <v>4.46</v>
      </c>
      <c r="K410" s="24">
        <v>10.89</v>
      </c>
      <c r="L410" s="28">
        <v>6.4300000000000006</v>
      </c>
      <c r="M410" s="1">
        <v>1</v>
      </c>
      <c r="N410" s="28">
        <v>10.89</v>
      </c>
      <c r="O410" s="29">
        <v>0</v>
      </c>
      <c r="P410" s="28">
        <v>0</v>
      </c>
      <c r="Q410" s="28">
        <v>10.89</v>
      </c>
      <c r="R410" s="1" t="str">
        <f t="shared" si="36"/>
        <v>Jul</v>
      </c>
      <c r="S410" s="28">
        <f t="shared" si="40"/>
        <v>4.46</v>
      </c>
      <c r="T410" s="28">
        <f t="shared" si="41"/>
        <v>6.4300000000000006</v>
      </c>
      <c r="U410" s="11">
        <f t="shared" si="37"/>
        <v>0.59044995408631773</v>
      </c>
      <c r="V410" s="1" t="str">
        <f t="shared" si="38"/>
        <v>Fast</v>
      </c>
      <c r="W410" s="1" t="str">
        <f t="shared" si="39"/>
        <v>OK</v>
      </c>
    </row>
    <row r="411" spans="1:23">
      <c r="A411" s="1">
        <v>57029</v>
      </c>
      <c r="B411" s="10">
        <v>45850</v>
      </c>
      <c r="C411" s="1">
        <v>10</v>
      </c>
      <c r="D411" s="1" t="s">
        <v>63</v>
      </c>
      <c r="E411" s="1" t="s">
        <v>72</v>
      </c>
      <c r="F411" s="1" t="s">
        <v>96</v>
      </c>
      <c r="G411" s="1" t="s">
        <v>60</v>
      </c>
      <c r="H411" s="1" t="s">
        <v>61</v>
      </c>
      <c r="I411" s="1" t="s">
        <v>123</v>
      </c>
      <c r="J411" s="24">
        <v>1.18</v>
      </c>
      <c r="K411" s="24">
        <v>1.88</v>
      </c>
      <c r="L411" s="28">
        <v>0.7</v>
      </c>
      <c r="M411" s="1">
        <v>20</v>
      </c>
      <c r="N411" s="28">
        <v>37.599999999999987</v>
      </c>
      <c r="O411" s="29">
        <v>0.09</v>
      </c>
      <c r="P411" s="28">
        <v>3.383999999999999</v>
      </c>
      <c r="Q411" s="28">
        <v>34.215999999999987</v>
      </c>
      <c r="R411" s="1" t="str">
        <f t="shared" si="36"/>
        <v>Jul</v>
      </c>
      <c r="S411" s="28">
        <f t="shared" si="40"/>
        <v>23.599999999999998</v>
      </c>
      <c r="T411" s="28">
        <f t="shared" si="41"/>
        <v>10.615999999999989</v>
      </c>
      <c r="U411" s="11">
        <f t="shared" si="37"/>
        <v>0.31026420388122494</v>
      </c>
      <c r="V411" s="1" t="str">
        <f t="shared" si="38"/>
        <v>Slow</v>
      </c>
      <c r="W411" s="1" t="str">
        <f t="shared" si="39"/>
        <v>OK</v>
      </c>
    </row>
    <row r="412" spans="1:23">
      <c r="A412" s="1">
        <v>57030</v>
      </c>
      <c r="B412" s="10">
        <v>45851</v>
      </c>
      <c r="C412" s="1">
        <v>10</v>
      </c>
      <c r="D412" s="1" t="s">
        <v>57</v>
      </c>
      <c r="E412" s="1" t="s">
        <v>87</v>
      </c>
      <c r="F412" s="1" t="s">
        <v>98</v>
      </c>
      <c r="G412" s="1" t="s">
        <v>60</v>
      </c>
      <c r="H412" s="1" t="s">
        <v>90</v>
      </c>
      <c r="I412" s="1" t="s">
        <v>155</v>
      </c>
      <c r="J412" s="24">
        <v>2.39</v>
      </c>
      <c r="K412" s="24">
        <v>4.26</v>
      </c>
      <c r="L412" s="28">
        <v>1.87</v>
      </c>
      <c r="M412" s="1">
        <v>5</v>
      </c>
      <c r="N412" s="28">
        <v>21.3</v>
      </c>
      <c r="O412" s="29">
        <v>0.01</v>
      </c>
      <c r="P412" s="28">
        <v>0.21299999999999999</v>
      </c>
      <c r="Q412" s="28">
        <v>21.087</v>
      </c>
      <c r="R412" s="1" t="str">
        <f t="shared" si="36"/>
        <v>Jul</v>
      </c>
      <c r="S412" s="28">
        <f t="shared" si="40"/>
        <v>11.950000000000001</v>
      </c>
      <c r="T412" s="28">
        <f t="shared" si="41"/>
        <v>9.1369999999999987</v>
      </c>
      <c r="U412" s="11">
        <f t="shared" si="37"/>
        <v>0.43330013752548957</v>
      </c>
      <c r="V412" s="1" t="str">
        <f t="shared" si="38"/>
        <v>Slow</v>
      </c>
      <c r="W412" s="1" t="str">
        <f t="shared" si="39"/>
        <v>OK</v>
      </c>
    </row>
    <row r="413" spans="1:23">
      <c r="A413" s="1">
        <v>57031</v>
      </c>
      <c r="B413" s="10">
        <v>45851</v>
      </c>
      <c r="C413" s="1">
        <v>8</v>
      </c>
      <c r="D413" s="1" t="s">
        <v>78</v>
      </c>
      <c r="E413" s="1" t="s">
        <v>72</v>
      </c>
      <c r="F413" s="1" t="s">
        <v>73</v>
      </c>
      <c r="G413" s="1" t="s">
        <v>60</v>
      </c>
      <c r="H413" s="1" t="s">
        <v>68</v>
      </c>
      <c r="I413" s="1" t="s">
        <v>167</v>
      </c>
      <c r="J413" s="24">
        <v>0.9</v>
      </c>
      <c r="K413" s="24">
        <v>2.1</v>
      </c>
      <c r="L413" s="28">
        <v>1.2</v>
      </c>
      <c r="M413" s="1">
        <v>19</v>
      </c>
      <c r="N413" s="28">
        <v>39.9</v>
      </c>
      <c r="O413" s="29">
        <v>0.09</v>
      </c>
      <c r="P413" s="28">
        <v>3.5910000000000002</v>
      </c>
      <c r="Q413" s="28">
        <v>36.308999999999997</v>
      </c>
      <c r="R413" s="1" t="str">
        <f t="shared" si="36"/>
        <v>Jul</v>
      </c>
      <c r="S413" s="28">
        <f t="shared" si="40"/>
        <v>17.100000000000001</v>
      </c>
      <c r="T413" s="28">
        <f t="shared" si="41"/>
        <v>19.208999999999996</v>
      </c>
      <c r="U413" s="11">
        <f t="shared" si="37"/>
        <v>0.52904238618524324</v>
      </c>
      <c r="V413" s="1" t="str">
        <f t="shared" si="38"/>
        <v>Slow</v>
      </c>
      <c r="W413" s="1" t="str">
        <f t="shared" si="39"/>
        <v>OK</v>
      </c>
    </row>
    <row r="414" spans="1:23">
      <c r="A414" s="1">
        <v>57032</v>
      </c>
      <c r="B414" s="10">
        <v>45851</v>
      </c>
      <c r="C414" s="1">
        <v>19</v>
      </c>
      <c r="D414" s="1" t="s">
        <v>57</v>
      </c>
      <c r="E414" s="1" t="s">
        <v>58</v>
      </c>
      <c r="F414" s="1" t="s">
        <v>59</v>
      </c>
      <c r="G414" s="1" t="s">
        <v>60</v>
      </c>
      <c r="H414" s="1" t="s">
        <v>70</v>
      </c>
      <c r="I414" s="1" t="s">
        <v>201</v>
      </c>
      <c r="J414" s="24">
        <v>3.75</v>
      </c>
      <c r="K414" s="24">
        <v>7.08</v>
      </c>
      <c r="L414" s="28">
        <v>3.33</v>
      </c>
      <c r="M414" s="1">
        <v>47</v>
      </c>
      <c r="N414" s="28">
        <v>332.76</v>
      </c>
      <c r="O414" s="29">
        <v>0</v>
      </c>
      <c r="P414" s="28">
        <v>0</v>
      </c>
      <c r="Q414" s="28">
        <v>332.76</v>
      </c>
      <c r="R414" s="1" t="str">
        <f t="shared" si="36"/>
        <v>Jul</v>
      </c>
      <c r="S414" s="28">
        <f t="shared" si="40"/>
        <v>176.25</v>
      </c>
      <c r="T414" s="28">
        <f t="shared" si="41"/>
        <v>156.51</v>
      </c>
      <c r="U414" s="11">
        <f t="shared" si="37"/>
        <v>0.47033898305084743</v>
      </c>
      <c r="V414" s="1" t="str">
        <f t="shared" si="38"/>
        <v>Very Slow</v>
      </c>
      <c r="W414" s="1" t="str">
        <f t="shared" si="39"/>
        <v>OK</v>
      </c>
    </row>
    <row r="415" spans="1:23">
      <c r="A415" s="1">
        <v>57033</v>
      </c>
      <c r="B415" s="10">
        <v>45853</v>
      </c>
      <c r="C415" s="1">
        <v>21</v>
      </c>
      <c r="D415" s="1" t="s">
        <v>57</v>
      </c>
      <c r="E415" s="1" t="s">
        <v>67</v>
      </c>
      <c r="F415" s="1" t="s">
        <v>64</v>
      </c>
      <c r="G415" s="1" t="s">
        <v>60</v>
      </c>
      <c r="H415" s="1" t="s">
        <v>65</v>
      </c>
      <c r="I415" s="1" t="s">
        <v>126</v>
      </c>
      <c r="J415" s="24">
        <v>1.0900000000000001</v>
      </c>
      <c r="K415" s="24">
        <v>2.6</v>
      </c>
      <c r="L415" s="28">
        <v>1.51</v>
      </c>
      <c r="M415" s="1">
        <v>9</v>
      </c>
      <c r="N415" s="28">
        <v>23.4</v>
      </c>
      <c r="O415" s="29">
        <v>0.04</v>
      </c>
      <c r="P415" s="28">
        <v>0.93600000000000005</v>
      </c>
      <c r="Q415" s="28">
        <v>22.463999999999999</v>
      </c>
      <c r="R415" s="1" t="str">
        <f t="shared" si="36"/>
        <v>Jul</v>
      </c>
      <c r="S415" s="28">
        <f t="shared" si="40"/>
        <v>9.81</v>
      </c>
      <c r="T415" s="28">
        <f t="shared" si="41"/>
        <v>12.653999999999998</v>
      </c>
      <c r="U415" s="11">
        <f t="shared" si="37"/>
        <v>0.56330128205128205</v>
      </c>
      <c r="V415" s="1" t="str">
        <f t="shared" si="38"/>
        <v>Very Slow</v>
      </c>
      <c r="W415" s="1" t="str">
        <f t="shared" si="39"/>
        <v>OK</v>
      </c>
    </row>
    <row r="416" spans="1:23">
      <c r="A416" s="1">
        <v>57034</v>
      </c>
      <c r="B416" s="10">
        <v>45853</v>
      </c>
      <c r="C416" s="1">
        <v>17</v>
      </c>
      <c r="D416" s="1" t="s">
        <v>57</v>
      </c>
      <c r="E416" s="1" t="s">
        <v>72</v>
      </c>
      <c r="F416" s="1" t="s">
        <v>83</v>
      </c>
      <c r="G416" s="1" t="s">
        <v>81</v>
      </c>
      <c r="H416" s="1" t="s">
        <v>70</v>
      </c>
      <c r="I416" s="1" t="s">
        <v>110</v>
      </c>
      <c r="J416" s="24">
        <v>278.99</v>
      </c>
      <c r="K416" s="24">
        <v>449.99</v>
      </c>
      <c r="L416" s="28">
        <v>171</v>
      </c>
      <c r="M416" s="1">
        <v>57</v>
      </c>
      <c r="N416" s="28">
        <v>25649.43</v>
      </c>
      <c r="O416" s="29">
        <v>0.1</v>
      </c>
      <c r="P416" s="28">
        <v>2564.9430000000002</v>
      </c>
      <c r="Q416" s="28">
        <v>23084.487000000001</v>
      </c>
      <c r="R416" s="1" t="str">
        <f t="shared" si="36"/>
        <v>Jul</v>
      </c>
      <c r="S416" s="28">
        <f t="shared" si="40"/>
        <v>15902.43</v>
      </c>
      <c r="T416" s="28">
        <f t="shared" si="41"/>
        <v>7182.0570000000007</v>
      </c>
      <c r="U416" s="11">
        <f t="shared" si="37"/>
        <v>0.31112049403566994</v>
      </c>
      <c r="V416" s="1" t="str">
        <f t="shared" si="38"/>
        <v>Very Slow</v>
      </c>
      <c r="W416" s="1" t="str">
        <f t="shared" si="39"/>
        <v>OK</v>
      </c>
    </row>
    <row r="417" spans="1:23">
      <c r="A417" s="1">
        <v>57035</v>
      </c>
      <c r="B417" s="10">
        <v>45854</v>
      </c>
      <c r="C417" s="1">
        <v>11</v>
      </c>
      <c r="D417" s="1" t="s">
        <v>63</v>
      </c>
      <c r="E417" s="1" t="s">
        <v>72</v>
      </c>
      <c r="F417" s="1" t="s">
        <v>18</v>
      </c>
      <c r="G417" s="1" t="s">
        <v>60</v>
      </c>
      <c r="H417" s="1" t="s">
        <v>68</v>
      </c>
      <c r="I417" s="1" t="s">
        <v>202</v>
      </c>
      <c r="J417" s="24">
        <v>52.04</v>
      </c>
      <c r="K417" s="24">
        <v>83.93</v>
      </c>
      <c r="L417" s="28">
        <v>31.890000000000011</v>
      </c>
      <c r="M417" s="1">
        <v>6</v>
      </c>
      <c r="N417" s="28">
        <v>503.58</v>
      </c>
      <c r="O417" s="29">
        <v>0.04</v>
      </c>
      <c r="P417" s="28">
        <v>20.1432</v>
      </c>
      <c r="Q417" s="28">
        <v>483.43680000000012</v>
      </c>
      <c r="R417" s="1" t="str">
        <f t="shared" si="36"/>
        <v>Jul</v>
      </c>
      <c r="S417" s="28">
        <f t="shared" si="40"/>
        <v>312.24</v>
      </c>
      <c r="T417" s="28">
        <f t="shared" si="41"/>
        <v>171.19680000000011</v>
      </c>
      <c r="U417" s="11">
        <f t="shared" si="37"/>
        <v>0.35412446880336801</v>
      </c>
      <c r="V417" s="1" t="str">
        <f t="shared" si="38"/>
        <v>Slow</v>
      </c>
      <c r="W417" s="1" t="str">
        <f t="shared" si="39"/>
        <v>OK</v>
      </c>
    </row>
    <row r="418" spans="1:23">
      <c r="A418" s="1">
        <v>57036</v>
      </c>
      <c r="B418" s="10">
        <v>45854</v>
      </c>
      <c r="C418" s="1">
        <v>4</v>
      </c>
      <c r="D418" s="1" t="s">
        <v>63</v>
      </c>
      <c r="E418" s="1" t="s">
        <v>72</v>
      </c>
      <c r="F418" s="1" t="s">
        <v>98</v>
      </c>
      <c r="G418" s="1" t="s">
        <v>81</v>
      </c>
      <c r="H418" s="1" t="s">
        <v>61</v>
      </c>
      <c r="I418" s="1" t="s">
        <v>139</v>
      </c>
      <c r="J418" s="24">
        <v>6.39</v>
      </c>
      <c r="K418" s="24">
        <v>19.98</v>
      </c>
      <c r="L418" s="28">
        <v>13.59</v>
      </c>
      <c r="M418" s="1">
        <v>8</v>
      </c>
      <c r="N418" s="28">
        <v>159.84</v>
      </c>
      <c r="O418" s="29">
        <v>0.09</v>
      </c>
      <c r="P418" s="28">
        <v>14.3856</v>
      </c>
      <c r="Q418" s="28">
        <v>145.45439999999999</v>
      </c>
      <c r="R418" s="1" t="str">
        <f t="shared" si="36"/>
        <v>Jul</v>
      </c>
      <c r="S418" s="28">
        <f t="shared" si="40"/>
        <v>51.12</v>
      </c>
      <c r="T418" s="28">
        <f t="shared" si="41"/>
        <v>94.334399999999988</v>
      </c>
      <c r="U418" s="11">
        <f t="shared" si="37"/>
        <v>0.64854964854964847</v>
      </c>
      <c r="V418" s="1" t="str">
        <f t="shared" si="38"/>
        <v>Standard</v>
      </c>
      <c r="W418" s="1" t="str">
        <f t="shared" si="39"/>
        <v>OK</v>
      </c>
    </row>
    <row r="419" spans="1:23">
      <c r="A419" s="1">
        <v>57037</v>
      </c>
      <c r="B419" s="10">
        <v>45855</v>
      </c>
      <c r="C419" s="1">
        <v>20</v>
      </c>
      <c r="D419" s="1" t="s">
        <v>63</v>
      </c>
      <c r="E419" s="1" t="s">
        <v>72</v>
      </c>
      <c r="F419" s="1" t="s">
        <v>18</v>
      </c>
      <c r="G419" s="1" t="s">
        <v>60</v>
      </c>
      <c r="H419" s="1" t="s">
        <v>61</v>
      </c>
      <c r="I419" s="1" t="s">
        <v>134</v>
      </c>
      <c r="J419" s="24">
        <v>5.33</v>
      </c>
      <c r="K419" s="24">
        <v>8.6</v>
      </c>
      <c r="L419" s="28">
        <v>3.27</v>
      </c>
      <c r="M419" s="1">
        <v>2</v>
      </c>
      <c r="N419" s="28">
        <v>17.2</v>
      </c>
      <c r="O419" s="29">
        <v>0.06</v>
      </c>
      <c r="P419" s="28">
        <v>1.032</v>
      </c>
      <c r="Q419" s="28">
        <v>16.167999999999999</v>
      </c>
      <c r="R419" s="1" t="str">
        <f t="shared" si="36"/>
        <v>Jul</v>
      </c>
      <c r="S419" s="28">
        <f t="shared" si="40"/>
        <v>10.66</v>
      </c>
      <c r="T419" s="28">
        <f t="shared" si="41"/>
        <v>5.5079999999999991</v>
      </c>
      <c r="U419" s="11">
        <f t="shared" si="37"/>
        <v>0.34067293419099454</v>
      </c>
      <c r="V419" s="1" t="str">
        <f t="shared" si="38"/>
        <v>Very Slow</v>
      </c>
      <c r="W419" s="1" t="str">
        <f t="shared" si="39"/>
        <v>OK</v>
      </c>
    </row>
    <row r="420" spans="1:23">
      <c r="A420" s="1">
        <v>57038</v>
      </c>
      <c r="B420" s="10">
        <v>45855</v>
      </c>
      <c r="C420" s="1">
        <v>9</v>
      </c>
      <c r="D420" s="1" t="s">
        <v>57</v>
      </c>
      <c r="E420" s="1" t="s">
        <v>72</v>
      </c>
      <c r="F420" s="1" t="s">
        <v>100</v>
      </c>
      <c r="G420" s="1" t="s">
        <v>60</v>
      </c>
      <c r="H420" s="1" t="s">
        <v>61</v>
      </c>
      <c r="I420" s="1" t="s">
        <v>126</v>
      </c>
      <c r="J420" s="24">
        <v>1.0900000000000001</v>
      </c>
      <c r="K420" s="24">
        <v>2.6</v>
      </c>
      <c r="L420" s="28">
        <v>1.51</v>
      </c>
      <c r="M420" s="1">
        <v>50</v>
      </c>
      <c r="N420" s="28">
        <v>130</v>
      </c>
      <c r="O420" s="29">
        <v>0.05</v>
      </c>
      <c r="P420" s="28">
        <v>6.5</v>
      </c>
      <c r="Q420" s="28">
        <v>123.5</v>
      </c>
      <c r="R420" s="1" t="str">
        <f t="shared" si="36"/>
        <v>Jul</v>
      </c>
      <c r="S420" s="28">
        <f t="shared" si="40"/>
        <v>54.500000000000007</v>
      </c>
      <c r="T420" s="28">
        <f t="shared" si="41"/>
        <v>69</v>
      </c>
      <c r="U420" s="11">
        <f t="shared" si="37"/>
        <v>0.5587044534412956</v>
      </c>
      <c r="V420" s="1" t="str">
        <f t="shared" si="38"/>
        <v>Slow</v>
      </c>
      <c r="W420" s="1" t="str">
        <f t="shared" si="39"/>
        <v>OK</v>
      </c>
    </row>
    <row r="421" spans="1:23">
      <c r="A421" s="1">
        <v>57039</v>
      </c>
      <c r="B421" s="10">
        <v>45856</v>
      </c>
      <c r="C421" s="1">
        <v>10</v>
      </c>
      <c r="D421" s="1" t="s">
        <v>57</v>
      </c>
      <c r="E421" s="1" t="s">
        <v>72</v>
      </c>
      <c r="F421" s="1" t="s">
        <v>59</v>
      </c>
      <c r="G421" s="1" t="s">
        <v>60</v>
      </c>
      <c r="H421" s="1" t="s">
        <v>90</v>
      </c>
      <c r="I421" s="1" t="s">
        <v>121</v>
      </c>
      <c r="J421" s="24">
        <v>1.84</v>
      </c>
      <c r="K421" s="24">
        <v>2.88</v>
      </c>
      <c r="L421" s="28">
        <v>1.04</v>
      </c>
      <c r="M421" s="1">
        <v>23</v>
      </c>
      <c r="N421" s="28">
        <v>66.239999999999995</v>
      </c>
      <c r="O421" s="29">
        <v>7.0000000000000007E-2</v>
      </c>
      <c r="P421" s="28">
        <v>4.6368</v>
      </c>
      <c r="Q421" s="28">
        <v>61.603199999999987</v>
      </c>
      <c r="R421" s="1" t="str">
        <f t="shared" si="36"/>
        <v>Jul</v>
      </c>
      <c r="S421" s="28">
        <f t="shared" si="40"/>
        <v>42.32</v>
      </c>
      <c r="T421" s="28">
        <f t="shared" si="41"/>
        <v>19.283199999999987</v>
      </c>
      <c r="U421" s="11">
        <f t="shared" si="37"/>
        <v>0.31302270011947414</v>
      </c>
      <c r="V421" s="1" t="str">
        <f t="shared" si="38"/>
        <v>Slow</v>
      </c>
      <c r="W421" s="1" t="str">
        <f t="shared" si="39"/>
        <v>OK</v>
      </c>
    </row>
    <row r="422" spans="1:23">
      <c r="A422" s="1">
        <v>57040</v>
      </c>
      <c r="B422" s="10">
        <v>45857</v>
      </c>
      <c r="C422" s="1">
        <v>15</v>
      </c>
      <c r="D422" s="1" t="s">
        <v>57</v>
      </c>
      <c r="E422" s="1" t="s">
        <v>72</v>
      </c>
      <c r="F422" s="1" t="s">
        <v>96</v>
      </c>
      <c r="G422" s="1" t="s">
        <v>60</v>
      </c>
      <c r="H422" s="1" t="s">
        <v>68</v>
      </c>
      <c r="I422" s="1" t="s">
        <v>122</v>
      </c>
      <c r="J422" s="24">
        <v>14.95</v>
      </c>
      <c r="K422" s="24">
        <v>34.76</v>
      </c>
      <c r="L422" s="28">
        <v>19.809999999999999</v>
      </c>
      <c r="M422" s="1">
        <v>38</v>
      </c>
      <c r="N422" s="28">
        <v>1320.88</v>
      </c>
      <c r="O422" s="29">
        <v>0.02</v>
      </c>
      <c r="P422" s="28">
        <v>26.4176</v>
      </c>
      <c r="Q422" s="28">
        <v>1294.4623999999999</v>
      </c>
      <c r="R422" s="1" t="str">
        <f t="shared" si="36"/>
        <v>Jul</v>
      </c>
      <c r="S422" s="28">
        <f t="shared" si="40"/>
        <v>568.1</v>
      </c>
      <c r="T422" s="28">
        <f t="shared" si="41"/>
        <v>726.36239999999987</v>
      </c>
      <c r="U422" s="11">
        <f t="shared" si="37"/>
        <v>0.56113055118480071</v>
      </c>
      <c r="V422" s="1" t="str">
        <f t="shared" si="38"/>
        <v>Very Slow</v>
      </c>
      <c r="W422" s="1" t="str">
        <f t="shared" si="39"/>
        <v>OK</v>
      </c>
    </row>
    <row r="423" spans="1:23">
      <c r="A423" s="1">
        <v>57041</v>
      </c>
      <c r="B423" s="10">
        <v>45857</v>
      </c>
      <c r="C423" s="1">
        <v>16</v>
      </c>
      <c r="D423" s="1" t="s">
        <v>57</v>
      </c>
      <c r="E423" s="1" t="s">
        <v>67</v>
      </c>
      <c r="F423" s="1" t="s">
        <v>73</v>
      </c>
      <c r="G423" s="1" t="s">
        <v>81</v>
      </c>
      <c r="H423" s="1" t="s">
        <v>70</v>
      </c>
      <c r="I423" s="1" t="s">
        <v>92</v>
      </c>
      <c r="J423" s="24">
        <v>32.020000000000003</v>
      </c>
      <c r="K423" s="24">
        <v>152.47999999999999</v>
      </c>
      <c r="L423" s="28">
        <v>120.46</v>
      </c>
      <c r="M423" s="1">
        <v>49</v>
      </c>
      <c r="N423" s="28">
        <v>7471.52</v>
      </c>
      <c r="O423" s="29">
        <v>0.03</v>
      </c>
      <c r="P423" s="28">
        <v>224.1456</v>
      </c>
      <c r="Q423" s="28">
        <v>7247.3743999999997</v>
      </c>
      <c r="R423" s="1" t="str">
        <f t="shared" si="36"/>
        <v>Jul</v>
      </c>
      <c r="S423" s="28">
        <f t="shared" si="40"/>
        <v>1568.9800000000002</v>
      </c>
      <c r="T423" s="28">
        <f t="shared" si="41"/>
        <v>5678.3943999999992</v>
      </c>
      <c r="U423" s="11">
        <f t="shared" si="37"/>
        <v>0.78351056349455317</v>
      </c>
      <c r="V423" s="1" t="str">
        <f t="shared" si="38"/>
        <v>Very Slow</v>
      </c>
      <c r="W423" s="1" t="str">
        <f t="shared" si="39"/>
        <v>OK</v>
      </c>
    </row>
    <row r="424" spans="1:23">
      <c r="A424" s="1">
        <v>57042</v>
      </c>
      <c r="B424" s="10">
        <v>45857</v>
      </c>
      <c r="C424" s="1">
        <v>9</v>
      </c>
      <c r="D424" s="1" t="s">
        <v>78</v>
      </c>
      <c r="E424" s="1" t="s">
        <v>58</v>
      </c>
      <c r="F424" s="1" t="s">
        <v>79</v>
      </c>
      <c r="G424" s="1" t="s">
        <v>60</v>
      </c>
      <c r="H424" s="1" t="s">
        <v>90</v>
      </c>
      <c r="I424" s="1" t="s">
        <v>107</v>
      </c>
      <c r="J424" s="24">
        <v>13.88</v>
      </c>
      <c r="K424" s="24">
        <v>22.38</v>
      </c>
      <c r="L424" s="28">
        <v>8.4999999999999982</v>
      </c>
      <c r="M424" s="1">
        <v>23</v>
      </c>
      <c r="N424" s="28">
        <v>514.74</v>
      </c>
      <c r="O424" s="29">
        <v>7.0000000000000007E-2</v>
      </c>
      <c r="P424" s="28">
        <v>36.031799999999997</v>
      </c>
      <c r="Q424" s="28">
        <v>478.70819999999998</v>
      </c>
      <c r="R424" s="1" t="str">
        <f t="shared" si="36"/>
        <v>Jul</v>
      </c>
      <c r="S424" s="28">
        <f t="shared" si="40"/>
        <v>319.24</v>
      </c>
      <c r="T424" s="28">
        <f t="shared" si="41"/>
        <v>159.46819999999997</v>
      </c>
      <c r="U424" s="11">
        <f t="shared" si="37"/>
        <v>0.33312193106364163</v>
      </c>
      <c r="V424" s="1" t="str">
        <f t="shared" si="38"/>
        <v>Slow</v>
      </c>
      <c r="W424" s="1" t="str">
        <f t="shared" si="39"/>
        <v>OK</v>
      </c>
    </row>
    <row r="425" spans="1:23">
      <c r="A425" s="1">
        <v>57043</v>
      </c>
      <c r="B425" s="10">
        <v>45857</v>
      </c>
      <c r="C425" s="1">
        <v>22</v>
      </c>
      <c r="D425" s="1" t="s">
        <v>78</v>
      </c>
      <c r="E425" s="1" t="s">
        <v>58</v>
      </c>
      <c r="F425" s="1" t="s">
        <v>64</v>
      </c>
      <c r="G425" s="1" t="s">
        <v>60</v>
      </c>
      <c r="H425" s="1" t="s">
        <v>68</v>
      </c>
      <c r="I425" s="1" t="s">
        <v>175</v>
      </c>
      <c r="J425" s="24">
        <v>4.79</v>
      </c>
      <c r="K425" s="24">
        <v>11.97</v>
      </c>
      <c r="L425" s="28">
        <v>7.1800000000000006</v>
      </c>
      <c r="M425" s="1">
        <v>50</v>
      </c>
      <c r="N425" s="28">
        <v>598.5</v>
      </c>
      <c r="O425" s="29">
        <v>7.0000000000000007E-2</v>
      </c>
      <c r="P425" s="28">
        <v>41.895000000000003</v>
      </c>
      <c r="Q425" s="28">
        <v>556.60500000000002</v>
      </c>
      <c r="R425" s="1" t="str">
        <f t="shared" si="36"/>
        <v>Jul</v>
      </c>
      <c r="S425" s="28">
        <f t="shared" si="40"/>
        <v>239.5</v>
      </c>
      <c r="T425" s="28">
        <f t="shared" si="41"/>
        <v>317.10500000000002</v>
      </c>
      <c r="U425" s="11">
        <f t="shared" si="37"/>
        <v>0.56971281249719286</v>
      </c>
      <c r="V425" s="1" t="str">
        <f t="shared" si="38"/>
        <v>Very Slow</v>
      </c>
      <c r="W425" s="1" t="str">
        <f t="shared" si="39"/>
        <v>OK</v>
      </c>
    </row>
    <row r="426" spans="1:23">
      <c r="A426" s="1">
        <v>57044</v>
      </c>
      <c r="B426" s="10">
        <v>45858</v>
      </c>
      <c r="C426" s="1">
        <v>18</v>
      </c>
      <c r="D426" s="1" t="s">
        <v>78</v>
      </c>
      <c r="E426" s="1" t="s">
        <v>58</v>
      </c>
      <c r="F426" s="1" t="s">
        <v>75</v>
      </c>
      <c r="G426" s="1" t="s">
        <v>81</v>
      </c>
      <c r="H426" s="1" t="s">
        <v>68</v>
      </c>
      <c r="I426" s="1" t="s">
        <v>212</v>
      </c>
      <c r="J426" s="24">
        <v>6.2</v>
      </c>
      <c r="K426" s="24">
        <v>30.98</v>
      </c>
      <c r="L426" s="28">
        <v>24.78</v>
      </c>
      <c r="M426" s="1">
        <v>21</v>
      </c>
      <c r="N426" s="28">
        <v>650.58000000000004</v>
      </c>
      <c r="O426" s="29">
        <v>0.08</v>
      </c>
      <c r="P426" s="28">
        <v>52.046400000000013</v>
      </c>
      <c r="Q426" s="28">
        <v>598.53359999999998</v>
      </c>
      <c r="R426" s="1" t="str">
        <f t="shared" si="36"/>
        <v>Jul</v>
      </c>
      <c r="S426" s="28">
        <f t="shared" si="40"/>
        <v>130.20000000000002</v>
      </c>
      <c r="T426" s="28">
        <f t="shared" si="41"/>
        <v>468.33359999999993</v>
      </c>
      <c r="U426" s="11">
        <f t="shared" si="37"/>
        <v>0.78246835265388603</v>
      </c>
      <c r="V426" s="1" t="str">
        <f t="shared" si="38"/>
        <v>Very Slow</v>
      </c>
      <c r="W426" s="1" t="str">
        <f t="shared" si="39"/>
        <v>OK</v>
      </c>
    </row>
    <row r="427" spans="1:23">
      <c r="A427" s="1">
        <v>57045</v>
      </c>
      <c r="B427" s="10">
        <v>45858</v>
      </c>
      <c r="C427" s="1">
        <v>1</v>
      </c>
      <c r="D427" s="1" t="s">
        <v>57</v>
      </c>
      <c r="E427" s="1" t="s">
        <v>72</v>
      </c>
      <c r="F427" s="1" t="s">
        <v>64</v>
      </c>
      <c r="G427" s="1" t="s">
        <v>81</v>
      </c>
      <c r="H427" s="1" t="s">
        <v>61</v>
      </c>
      <c r="I427" s="1" t="s">
        <v>150</v>
      </c>
      <c r="J427" s="24">
        <v>8.82</v>
      </c>
      <c r="K427" s="24">
        <v>20.99</v>
      </c>
      <c r="L427" s="28">
        <v>12.17</v>
      </c>
      <c r="M427" s="1">
        <v>20</v>
      </c>
      <c r="N427" s="28">
        <v>419.8</v>
      </c>
      <c r="O427" s="29">
        <v>0</v>
      </c>
      <c r="P427" s="28">
        <v>0</v>
      </c>
      <c r="Q427" s="28">
        <v>419.8</v>
      </c>
      <c r="R427" s="1" t="str">
        <f t="shared" si="36"/>
        <v>Jul</v>
      </c>
      <c r="S427" s="28">
        <f t="shared" si="40"/>
        <v>176.4</v>
      </c>
      <c r="T427" s="28">
        <f t="shared" si="41"/>
        <v>243.4</v>
      </c>
      <c r="U427" s="11">
        <f t="shared" si="37"/>
        <v>0.57979990471653164</v>
      </c>
      <c r="V427" s="1" t="str">
        <f t="shared" si="38"/>
        <v>Fast</v>
      </c>
      <c r="W427" s="1" t="str">
        <f t="shared" si="39"/>
        <v>OK</v>
      </c>
    </row>
    <row r="428" spans="1:23">
      <c r="A428" s="1">
        <v>57046</v>
      </c>
      <c r="B428" s="10">
        <v>45858</v>
      </c>
      <c r="C428" s="1">
        <v>16</v>
      </c>
      <c r="D428" s="1" t="s">
        <v>78</v>
      </c>
      <c r="E428" s="1" t="s">
        <v>87</v>
      </c>
      <c r="F428" s="1" t="s">
        <v>59</v>
      </c>
      <c r="G428" s="1" t="s">
        <v>81</v>
      </c>
      <c r="H428" s="1" t="s">
        <v>68</v>
      </c>
      <c r="I428" s="1" t="s">
        <v>132</v>
      </c>
      <c r="J428" s="24">
        <v>1.87</v>
      </c>
      <c r="K428" s="24">
        <v>8.1199999999999992</v>
      </c>
      <c r="L428" s="28">
        <v>6.2499999999999991</v>
      </c>
      <c r="M428" s="1">
        <v>4</v>
      </c>
      <c r="N428" s="28">
        <v>32.479999999999997</v>
      </c>
      <c r="O428" s="29">
        <v>0.03</v>
      </c>
      <c r="P428" s="28">
        <v>0.97439999999999982</v>
      </c>
      <c r="Q428" s="28">
        <v>31.505600000000001</v>
      </c>
      <c r="R428" s="1" t="str">
        <f t="shared" si="36"/>
        <v>Jul</v>
      </c>
      <c r="S428" s="28">
        <f t="shared" si="40"/>
        <v>7.48</v>
      </c>
      <c r="T428" s="28">
        <f t="shared" si="41"/>
        <v>24.025600000000001</v>
      </c>
      <c r="U428" s="11">
        <f t="shared" si="37"/>
        <v>0.76258189020364631</v>
      </c>
      <c r="V428" s="1" t="str">
        <f t="shared" si="38"/>
        <v>Very Slow</v>
      </c>
      <c r="W428" s="1" t="str">
        <f t="shared" si="39"/>
        <v>OK</v>
      </c>
    </row>
    <row r="429" spans="1:23">
      <c r="A429" s="1">
        <v>57047</v>
      </c>
      <c r="B429" s="10">
        <v>45858</v>
      </c>
      <c r="C429" s="1">
        <v>4</v>
      </c>
      <c r="D429" s="1" t="s">
        <v>78</v>
      </c>
      <c r="E429" s="1" t="s">
        <v>67</v>
      </c>
      <c r="F429" s="1" t="s">
        <v>96</v>
      </c>
      <c r="G429" s="1" t="s">
        <v>60</v>
      </c>
      <c r="H429" s="1" t="s">
        <v>70</v>
      </c>
      <c r="I429" s="1" t="s">
        <v>122</v>
      </c>
      <c r="J429" s="24">
        <v>14.95</v>
      </c>
      <c r="K429" s="24">
        <v>34.76</v>
      </c>
      <c r="L429" s="28">
        <v>19.809999999999999</v>
      </c>
      <c r="M429" s="1">
        <v>37</v>
      </c>
      <c r="N429" s="28">
        <v>1286.1199999999999</v>
      </c>
      <c r="O429" s="29">
        <v>0.08</v>
      </c>
      <c r="P429" s="28">
        <v>102.8896</v>
      </c>
      <c r="Q429" s="28">
        <v>1183.2303999999999</v>
      </c>
      <c r="R429" s="1" t="str">
        <f t="shared" si="36"/>
        <v>Jul</v>
      </c>
      <c r="S429" s="28">
        <f t="shared" si="40"/>
        <v>553.15</v>
      </c>
      <c r="T429" s="28">
        <f t="shared" si="41"/>
        <v>630.08039999999994</v>
      </c>
      <c r="U429" s="11">
        <f t="shared" si="37"/>
        <v>0.53250863060989639</v>
      </c>
      <c r="V429" s="1" t="str">
        <f t="shared" si="38"/>
        <v>Standard</v>
      </c>
      <c r="W429" s="1" t="str">
        <f t="shared" si="39"/>
        <v>OK</v>
      </c>
    </row>
    <row r="430" spans="1:23">
      <c r="A430" s="1">
        <v>57048</v>
      </c>
      <c r="B430" s="10">
        <v>45859</v>
      </c>
      <c r="C430" s="1">
        <v>10</v>
      </c>
      <c r="D430" s="1" t="s">
        <v>57</v>
      </c>
      <c r="E430" s="1" t="s">
        <v>72</v>
      </c>
      <c r="F430" s="1" t="s">
        <v>98</v>
      </c>
      <c r="G430" s="1" t="s">
        <v>60</v>
      </c>
      <c r="H430" s="1" t="s">
        <v>70</v>
      </c>
      <c r="I430" s="1" t="s">
        <v>169</v>
      </c>
      <c r="J430" s="24">
        <v>0.94</v>
      </c>
      <c r="K430" s="24">
        <v>2.08</v>
      </c>
      <c r="L430" s="28">
        <v>1.1399999999999999</v>
      </c>
      <c r="M430" s="1">
        <v>46</v>
      </c>
      <c r="N430" s="28">
        <v>95.68</v>
      </c>
      <c r="O430" s="29">
        <v>0.08</v>
      </c>
      <c r="P430" s="28">
        <v>7.6544000000000008</v>
      </c>
      <c r="Q430" s="28">
        <v>88.025600000000011</v>
      </c>
      <c r="R430" s="1" t="str">
        <f t="shared" si="36"/>
        <v>Jul</v>
      </c>
      <c r="S430" s="28">
        <f t="shared" si="40"/>
        <v>43.239999999999995</v>
      </c>
      <c r="T430" s="28">
        <f t="shared" si="41"/>
        <v>44.785600000000017</v>
      </c>
      <c r="U430" s="11">
        <f t="shared" si="37"/>
        <v>0.50877926421404696</v>
      </c>
      <c r="V430" s="1" t="str">
        <f t="shared" si="38"/>
        <v>Slow</v>
      </c>
      <c r="W430" s="1" t="str">
        <f t="shared" si="39"/>
        <v>OK</v>
      </c>
    </row>
    <row r="431" spans="1:23">
      <c r="A431" s="1">
        <v>57049</v>
      </c>
      <c r="B431" s="10">
        <v>45859</v>
      </c>
      <c r="C431" s="1">
        <v>10</v>
      </c>
      <c r="D431" s="1" t="s">
        <v>78</v>
      </c>
      <c r="E431" s="1" t="s">
        <v>87</v>
      </c>
      <c r="F431" s="1" t="s">
        <v>75</v>
      </c>
      <c r="G431" s="1" t="s">
        <v>81</v>
      </c>
      <c r="H431" s="1" t="s">
        <v>90</v>
      </c>
      <c r="I431" s="1" t="s">
        <v>160</v>
      </c>
      <c r="J431" s="24">
        <v>14.7</v>
      </c>
      <c r="K431" s="24">
        <v>29.99</v>
      </c>
      <c r="L431" s="28">
        <v>15.29</v>
      </c>
      <c r="M431" s="1">
        <v>2</v>
      </c>
      <c r="N431" s="28">
        <v>59.98</v>
      </c>
      <c r="O431" s="29">
        <v>0.04</v>
      </c>
      <c r="P431" s="28">
        <v>2.3992</v>
      </c>
      <c r="Q431" s="28">
        <v>57.580800000000004</v>
      </c>
      <c r="R431" s="1" t="str">
        <f t="shared" si="36"/>
        <v>Jul</v>
      </c>
      <c r="S431" s="28">
        <f t="shared" si="40"/>
        <v>29.4</v>
      </c>
      <c r="T431" s="28">
        <f t="shared" si="41"/>
        <v>28.180800000000005</v>
      </c>
      <c r="U431" s="11">
        <f t="shared" si="37"/>
        <v>0.48941313771257089</v>
      </c>
      <c r="V431" s="1" t="str">
        <f t="shared" si="38"/>
        <v>Slow</v>
      </c>
      <c r="W431" s="1" t="str">
        <f t="shared" si="39"/>
        <v>OK</v>
      </c>
    </row>
    <row r="432" spans="1:23">
      <c r="A432" s="1">
        <v>57050</v>
      </c>
      <c r="B432" s="10">
        <v>45859</v>
      </c>
      <c r="C432" s="1">
        <v>18</v>
      </c>
      <c r="D432" s="1" t="s">
        <v>78</v>
      </c>
      <c r="E432" s="1" t="s">
        <v>72</v>
      </c>
      <c r="F432" s="1" t="s">
        <v>59</v>
      </c>
      <c r="G432" s="1" t="s">
        <v>60</v>
      </c>
      <c r="H432" s="1" t="s">
        <v>70</v>
      </c>
      <c r="I432" s="1" t="s">
        <v>62</v>
      </c>
      <c r="J432" s="24">
        <v>4.1900000000000004</v>
      </c>
      <c r="K432" s="24">
        <v>10.23</v>
      </c>
      <c r="L432" s="28">
        <v>6.04</v>
      </c>
      <c r="M432" s="1">
        <v>42</v>
      </c>
      <c r="N432" s="28">
        <v>429.66</v>
      </c>
      <c r="O432" s="29">
        <v>0.01</v>
      </c>
      <c r="P432" s="28">
        <v>4.2966000000000006</v>
      </c>
      <c r="Q432" s="28">
        <v>425.36340000000001</v>
      </c>
      <c r="R432" s="1" t="str">
        <f t="shared" si="36"/>
        <v>Jul</v>
      </c>
      <c r="S432" s="28">
        <f t="shared" si="40"/>
        <v>175.98000000000002</v>
      </c>
      <c r="T432" s="28">
        <f t="shared" si="41"/>
        <v>249.38339999999999</v>
      </c>
      <c r="U432" s="11">
        <f t="shared" si="37"/>
        <v>0.58628316399577396</v>
      </c>
      <c r="V432" s="1" t="str">
        <f t="shared" si="38"/>
        <v>Very Slow</v>
      </c>
      <c r="W432" s="1" t="str">
        <f t="shared" si="39"/>
        <v>OK</v>
      </c>
    </row>
    <row r="433" spans="1:23">
      <c r="A433" s="1">
        <v>57051</v>
      </c>
      <c r="B433" s="10">
        <v>45861</v>
      </c>
      <c r="C433" s="1">
        <v>1</v>
      </c>
      <c r="D433" s="1" t="s">
        <v>63</v>
      </c>
      <c r="E433" s="1" t="s">
        <v>87</v>
      </c>
      <c r="F433" s="1" t="s">
        <v>98</v>
      </c>
      <c r="G433" s="1" t="s">
        <v>60</v>
      </c>
      <c r="H433" s="1" t="s">
        <v>65</v>
      </c>
      <c r="I433" s="1" t="s">
        <v>71</v>
      </c>
      <c r="J433" s="24">
        <v>3.95</v>
      </c>
      <c r="K433" s="24">
        <v>6.08</v>
      </c>
      <c r="L433" s="28">
        <v>2.13</v>
      </c>
      <c r="M433" s="1">
        <v>56</v>
      </c>
      <c r="N433" s="28">
        <v>340.48</v>
      </c>
      <c r="O433" s="29">
        <v>0.09</v>
      </c>
      <c r="P433" s="28">
        <v>30.6432</v>
      </c>
      <c r="Q433" s="28">
        <v>309.83679999999998</v>
      </c>
      <c r="R433" s="1" t="str">
        <f t="shared" si="36"/>
        <v>Jul</v>
      </c>
      <c r="S433" s="28">
        <f t="shared" si="40"/>
        <v>221.20000000000002</v>
      </c>
      <c r="T433" s="28">
        <f t="shared" si="41"/>
        <v>88.636799999999965</v>
      </c>
      <c r="U433" s="11">
        <f t="shared" si="37"/>
        <v>0.28607576633892412</v>
      </c>
      <c r="V433" s="1" t="str">
        <f t="shared" si="38"/>
        <v>Fast</v>
      </c>
      <c r="W433" s="1" t="str">
        <f t="shared" si="39"/>
        <v>OK</v>
      </c>
    </row>
    <row r="434" spans="1:23">
      <c r="A434" s="1">
        <v>57052</v>
      </c>
      <c r="B434" s="10">
        <v>45861</v>
      </c>
      <c r="C434" s="1">
        <v>15</v>
      </c>
      <c r="D434" s="1" t="s">
        <v>63</v>
      </c>
      <c r="E434" s="1" t="s">
        <v>87</v>
      </c>
      <c r="F434" s="1" t="s">
        <v>59</v>
      </c>
      <c r="G434" s="1" t="s">
        <v>81</v>
      </c>
      <c r="H434" s="1" t="s">
        <v>65</v>
      </c>
      <c r="I434" s="1" t="s">
        <v>150</v>
      </c>
      <c r="J434" s="24">
        <v>8.82</v>
      </c>
      <c r="K434" s="24">
        <v>20.99</v>
      </c>
      <c r="L434" s="28">
        <v>12.17</v>
      </c>
      <c r="M434" s="1">
        <v>9</v>
      </c>
      <c r="N434" s="28">
        <v>188.91</v>
      </c>
      <c r="O434" s="29">
        <v>0</v>
      </c>
      <c r="P434" s="28">
        <v>0</v>
      </c>
      <c r="Q434" s="28">
        <v>188.91</v>
      </c>
      <c r="R434" s="1" t="str">
        <f t="shared" si="36"/>
        <v>Jul</v>
      </c>
      <c r="S434" s="28">
        <f t="shared" si="40"/>
        <v>79.38</v>
      </c>
      <c r="T434" s="28">
        <f t="shared" si="41"/>
        <v>109.53</v>
      </c>
      <c r="U434" s="11">
        <f t="shared" si="37"/>
        <v>0.57979990471653164</v>
      </c>
      <c r="V434" s="1" t="str">
        <f t="shared" si="38"/>
        <v>Very Slow</v>
      </c>
      <c r="W434" s="1" t="str">
        <f t="shared" si="39"/>
        <v>OK</v>
      </c>
    </row>
    <row r="435" spans="1:23">
      <c r="A435" s="1">
        <v>57053</v>
      </c>
      <c r="B435" s="10">
        <v>45862</v>
      </c>
      <c r="C435" s="1">
        <v>16</v>
      </c>
      <c r="D435" s="1" t="s">
        <v>57</v>
      </c>
      <c r="E435" s="1" t="s">
        <v>72</v>
      </c>
      <c r="F435" s="1" t="s">
        <v>96</v>
      </c>
      <c r="G435" s="1" t="s">
        <v>60</v>
      </c>
      <c r="H435" s="1" t="s">
        <v>65</v>
      </c>
      <c r="I435" s="1" t="s">
        <v>101</v>
      </c>
      <c r="J435" s="24">
        <v>1.94</v>
      </c>
      <c r="K435" s="24">
        <v>3.08</v>
      </c>
      <c r="L435" s="28">
        <v>1.1399999999999999</v>
      </c>
      <c r="M435" s="1">
        <v>13</v>
      </c>
      <c r="N435" s="28">
        <v>40.04</v>
      </c>
      <c r="O435" s="29">
        <v>0.03</v>
      </c>
      <c r="P435" s="28">
        <v>1.2012</v>
      </c>
      <c r="Q435" s="28">
        <v>38.838799999999999</v>
      </c>
      <c r="R435" s="1" t="str">
        <f t="shared" si="36"/>
        <v>Jul</v>
      </c>
      <c r="S435" s="28">
        <f t="shared" si="40"/>
        <v>25.22</v>
      </c>
      <c r="T435" s="28">
        <f t="shared" si="41"/>
        <v>13.6188</v>
      </c>
      <c r="U435" s="11">
        <f t="shared" si="37"/>
        <v>0.35064935064935066</v>
      </c>
      <c r="V435" s="1" t="str">
        <f t="shared" si="38"/>
        <v>Very Slow</v>
      </c>
      <c r="W435" s="1" t="str">
        <f t="shared" si="39"/>
        <v>OK</v>
      </c>
    </row>
    <row r="436" spans="1:23">
      <c r="A436" s="1">
        <v>57054</v>
      </c>
      <c r="B436" s="10">
        <v>45862</v>
      </c>
      <c r="C436" s="1">
        <v>18</v>
      </c>
      <c r="D436" s="1" t="s">
        <v>57</v>
      </c>
      <c r="E436" s="1" t="s">
        <v>67</v>
      </c>
      <c r="F436" s="1" t="s">
        <v>83</v>
      </c>
      <c r="G436" s="1" t="s">
        <v>60</v>
      </c>
      <c r="H436" s="1" t="s">
        <v>61</v>
      </c>
      <c r="I436" s="1" t="s">
        <v>179</v>
      </c>
      <c r="J436" s="24">
        <v>0.71</v>
      </c>
      <c r="K436" s="24">
        <v>1.1399999999999999</v>
      </c>
      <c r="L436" s="28">
        <v>0.42999999999999988</v>
      </c>
      <c r="M436" s="1">
        <v>4</v>
      </c>
      <c r="N436" s="28">
        <v>4.5599999999999996</v>
      </c>
      <c r="O436" s="29">
        <v>0.1</v>
      </c>
      <c r="P436" s="28">
        <v>0.45600000000000002</v>
      </c>
      <c r="Q436" s="28">
        <v>4.1039999999999992</v>
      </c>
      <c r="R436" s="1" t="str">
        <f t="shared" si="36"/>
        <v>Jul</v>
      </c>
      <c r="S436" s="28">
        <f t="shared" si="40"/>
        <v>2.84</v>
      </c>
      <c r="T436" s="28">
        <f t="shared" si="41"/>
        <v>1.2639999999999993</v>
      </c>
      <c r="U436" s="11">
        <f t="shared" si="37"/>
        <v>0.30799220272904476</v>
      </c>
      <c r="V436" s="1" t="str">
        <f t="shared" si="38"/>
        <v>Very Slow</v>
      </c>
      <c r="W436" s="1" t="str">
        <f t="shared" si="39"/>
        <v>OK</v>
      </c>
    </row>
    <row r="437" spans="1:23">
      <c r="A437" s="1">
        <v>57055</v>
      </c>
      <c r="B437" s="10">
        <v>45862</v>
      </c>
      <c r="C437" s="1">
        <v>18</v>
      </c>
      <c r="D437" s="1" t="s">
        <v>57</v>
      </c>
      <c r="E437" s="1" t="s">
        <v>87</v>
      </c>
      <c r="F437" s="1" t="s">
        <v>108</v>
      </c>
      <c r="G437" s="1" t="s">
        <v>60</v>
      </c>
      <c r="H437" s="1" t="s">
        <v>61</v>
      </c>
      <c r="I437" s="1" t="s">
        <v>220</v>
      </c>
      <c r="J437" s="24">
        <v>1.0900000000000001</v>
      </c>
      <c r="K437" s="24">
        <v>1.82</v>
      </c>
      <c r="L437" s="28">
        <v>0.73</v>
      </c>
      <c r="M437" s="1">
        <v>42</v>
      </c>
      <c r="N437" s="28">
        <v>76.44</v>
      </c>
      <c r="O437" s="29">
        <v>0.1</v>
      </c>
      <c r="P437" s="28">
        <v>7.6440000000000001</v>
      </c>
      <c r="Q437" s="28">
        <v>68.795999999999992</v>
      </c>
      <c r="R437" s="1" t="str">
        <f t="shared" si="36"/>
        <v>Jul</v>
      </c>
      <c r="S437" s="28">
        <f t="shared" si="40"/>
        <v>45.78</v>
      </c>
      <c r="T437" s="28">
        <f t="shared" si="41"/>
        <v>23.015999999999991</v>
      </c>
      <c r="U437" s="11">
        <f t="shared" si="37"/>
        <v>0.33455433455433448</v>
      </c>
      <c r="V437" s="1" t="str">
        <f t="shared" si="38"/>
        <v>Very Slow</v>
      </c>
      <c r="W437" s="1" t="str">
        <f t="shared" si="39"/>
        <v>OK</v>
      </c>
    </row>
    <row r="438" spans="1:23">
      <c r="A438" s="1">
        <v>57056</v>
      </c>
      <c r="B438" s="10">
        <v>45862</v>
      </c>
      <c r="C438" s="1">
        <v>23</v>
      </c>
      <c r="D438" s="1" t="s">
        <v>78</v>
      </c>
      <c r="E438" s="1" t="s">
        <v>72</v>
      </c>
      <c r="F438" s="1" t="s">
        <v>73</v>
      </c>
      <c r="G438" s="1" t="s">
        <v>60</v>
      </c>
      <c r="H438" s="1" t="s">
        <v>90</v>
      </c>
      <c r="I438" s="1" t="s">
        <v>201</v>
      </c>
      <c r="J438" s="24">
        <v>3.75</v>
      </c>
      <c r="K438" s="24">
        <v>7.08</v>
      </c>
      <c r="L438" s="28">
        <v>3.33</v>
      </c>
      <c r="M438" s="1">
        <v>45</v>
      </c>
      <c r="N438" s="28">
        <v>318.60000000000002</v>
      </c>
      <c r="O438" s="29">
        <v>0.06</v>
      </c>
      <c r="P438" s="28">
        <v>19.116</v>
      </c>
      <c r="Q438" s="28">
        <v>299.48399999999998</v>
      </c>
      <c r="R438" s="1" t="str">
        <f t="shared" si="36"/>
        <v>Jul</v>
      </c>
      <c r="S438" s="28">
        <f t="shared" si="40"/>
        <v>168.75</v>
      </c>
      <c r="T438" s="28">
        <f t="shared" si="41"/>
        <v>130.73399999999998</v>
      </c>
      <c r="U438" s="11">
        <f t="shared" si="37"/>
        <v>0.43653083303281642</v>
      </c>
      <c r="V438" s="1" t="str">
        <f t="shared" si="38"/>
        <v>Very Slow</v>
      </c>
      <c r="W438" s="1" t="str">
        <f t="shared" si="39"/>
        <v>OK</v>
      </c>
    </row>
    <row r="439" spans="1:23">
      <c r="A439" s="1">
        <v>57057</v>
      </c>
      <c r="B439" s="10">
        <v>45863</v>
      </c>
      <c r="C439" s="1">
        <v>20</v>
      </c>
      <c r="D439" s="1" t="s">
        <v>57</v>
      </c>
      <c r="E439" s="1" t="s">
        <v>72</v>
      </c>
      <c r="F439" s="1" t="s">
        <v>83</v>
      </c>
      <c r="G439" s="1" t="s">
        <v>60</v>
      </c>
      <c r="H439" s="1" t="s">
        <v>90</v>
      </c>
      <c r="I439" s="1" t="s">
        <v>128</v>
      </c>
      <c r="J439" s="24">
        <v>178.83</v>
      </c>
      <c r="K439" s="24">
        <v>415.88</v>
      </c>
      <c r="L439" s="28">
        <v>237.05</v>
      </c>
      <c r="M439" s="1">
        <v>44</v>
      </c>
      <c r="N439" s="28">
        <v>18298.72</v>
      </c>
      <c r="O439" s="29">
        <v>7.0000000000000007E-2</v>
      </c>
      <c r="P439" s="28">
        <v>1280.9104</v>
      </c>
      <c r="Q439" s="28">
        <v>17017.809600000001</v>
      </c>
      <c r="R439" s="1" t="str">
        <f t="shared" si="36"/>
        <v>Jul</v>
      </c>
      <c r="S439" s="28">
        <f t="shared" si="40"/>
        <v>7868.52</v>
      </c>
      <c r="T439" s="28">
        <f t="shared" si="41"/>
        <v>9149.2896000000001</v>
      </c>
      <c r="U439" s="11">
        <f t="shared" si="37"/>
        <v>0.5376302717595336</v>
      </c>
      <c r="V439" s="1" t="str">
        <f t="shared" si="38"/>
        <v>Very Slow</v>
      </c>
      <c r="W439" s="1" t="str">
        <f t="shared" si="39"/>
        <v>OK</v>
      </c>
    </row>
    <row r="440" spans="1:23">
      <c r="A440" s="1">
        <v>57058</v>
      </c>
      <c r="B440" s="10">
        <v>45863</v>
      </c>
      <c r="C440" s="1">
        <v>11</v>
      </c>
      <c r="D440" s="1" t="s">
        <v>78</v>
      </c>
      <c r="E440" s="1" t="s">
        <v>72</v>
      </c>
      <c r="F440" s="1" t="s">
        <v>18</v>
      </c>
      <c r="G440" s="1" t="s">
        <v>81</v>
      </c>
      <c r="H440" s="1" t="s">
        <v>61</v>
      </c>
      <c r="I440" s="1" t="s">
        <v>130</v>
      </c>
      <c r="J440" s="24">
        <v>156.5</v>
      </c>
      <c r="K440" s="24">
        <v>300.97000000000003</v>
      </c>
      <c r="L440" s="28">
        <v>144.47</v>
      </c>
      <c r="M440" s="1">
        <v>6</v>
      </c>
      <c r="N440" s="28">
        <v>1805.82</v>
      </c>
      <c r="O440" s="29">
        <v>0.04</v>
      </c>
      <c r="P440" s="28">
        <v>72.232800000000012</v>
      </c>
      <c r="Q440" s="28">
        <v>1733.5871999999999</v>
      </c>
      <c r="R440" s="1" t="str">
        <f t="shared" si="36"/>
        <v>Jul</v>
      </c>
      <c r="S440" s="28">
        <f t="shared" si="40"/>
        <v>939</v>
      </c>
      <c r="T440" s="28">
        <f t="shared" si="41"/>
        <v>794.58719999999994</v>
      </c>
      <c r="U440" s="11">
        <f t="shared" si="37"/>
        <v>0.45834856187216888</v>
      </c>
      <c r="V440" s="1" t="str">
        <f t="shared" si="38"/>
        <v>Slow</v>
      </c>
      <c r="W440" s="1" t="str">
        <f t="shared" si="39"/>
        <v>OK</v>
      </c>
    </row>
    <row r="441" spans="1:23">
      <c r="A441" s="1">
        <v>57059</v>
      </c>
      <c r="B441" s="10">
        <v>45864</v>
      </c>
      <c r="C441" s="1">
        <v>16</v>
      </c>
      <c r="D441" s="1" t="s">
        <v>63</v>
      </c>
      <c r="E441" s="1" t="s">
        <v>72</v>
      </c>
      <c r="F441" s="1" t="s">
        <v>75</v>
      </c>
      <c r="G441" s="1" t="s">
        <v>60</v>
      </c>
      <c r="H441" s="1" t="s">
        <v>68</v>
      </c>
      <c r="I441" s="1" t="s">
        <v>77</v>
      </c>
      <c r="J441" s="24">
        <v>12.39</v>
      </c>
      <c r="K441" s="24">
        <v>19.98</v>
      </c>
      <c r="L441" s="28">
        <v>7.59</v>
      </c>
      <c r="M441" s="1">
        <v>10</v>
      </c>
      <c r="N441" s="28">
        <v>199.8</v>
      </c>
      <c r="O441" s="29">
        <v>0.1</v>
      </c>
      <c r="P441" s="28">
        <v>19.98</v>
      </c>
      <c r="Q441" s="28">
        <v>179.82</v>
      </c>
      <c r="R441" s="1" t="str">
        <f t="shared" si="36"/>
        <v>Jul</v>
      </c>
      <c r="S441" s="28">
        <f t="shared" si="40"/>
        <v>123.9</v>
      </c>
      <c r="T441" s="28">
        <f t="shared" si="41"/>
        <v>55.919999999999987</v>
      </c>
      <c r="U441" s="11">
        <f t="shared" si="37"/>
        <v>0.31097764431097757</v>
      </c>
      <c r="V441" s="1" t="str">
        <f t="shared" si="38"/>
        <v>Very Slow</v>
      </c>
      <c r="W441" s="1" t="str">
        <f t="shared" si="39"/>
        <v>OK</v>
      </c>
    </row>
    <row r="442" spans="1:23">
      <c r="A442" s="1">
        <v>57060</v>
      </c>
      <c r="B442" s="10">
        <v>45866</v>
      </c>
      <c r="C442" s="1">
        <v>18</v>
      </c>
      <c r="D442" s="1" t="s">
        <v>57</v>
      </c>
      <c r="E442" s="1" t="s">
        <v>67</v>
      </c>
      <c r="F442" s="1" t="s">
        <v>100</v>
      </c>
      <c r="G442" s="1" t="s">
        <v>81</v>
      </c>
      <c r="H442" s="1" t="s">
        <v>65</v>
      </c>
      <c r="I442" s="1" t="s">
        <v>82</v>
      </c>
      <c r="J442" s="24">
        <v>62.4</v>
      </c>
      <c r="K442" s="24">
        <v>155.99</v>
      </c>
      <c r="L442" s="28">
        <v>93.59</v>
      </c>
      <c r="M442" s="1">
        <v>19</v>
      </c>
      <c r="N442" s="28">
        <v>2963.81</v>
      </c>
      <c r="O442" s="29">
        <v>0.08</v>
      </c>
      <c r="P442" s="28">
        <v>237.10480000000001</v>
      </c>
      <c r="Q442" s="28">
        <v>2726.7051999999999</v>
      </c>
      <c r="R442" s="1" t="str">
        <f t="shared" si="36"/>
        <v>Jul</v>
      </c>
      <c r="S442" s="28">
        <f t="shared" si="40"/>
        <v>1185.5999999999999</v>
      </c>
      <c r="T442" s="28">
        <f t="shared" si="41"/>
        <v>1541.1052</v>
      </c>
      <c r="U442" s="11">
        <f t="shared" si="37"/>
        <v>0.56518951883760671</v>
      </c>
      <c r="V442" s="1" t="str">
        <f t="shared" si="38"/>
        <v>Very Slow</v>
      </c>
      <c r="W442" s="1" t="str">
        <f t="shared" si="39"/>
        <v>OK</v>
      </c>
    </row>
    <row r="443" spans="1:23">
      <c r="A443" s="1">
        <v>57061</v>
      </c>
      <c r="B443" s="10">
        <v>45866</v>
      </c>
      <c r="C443" s="1">
        <v>6</v>
      </c>
      <c r="D443" s="1" t="s">
        <v>57</v>
      </c>
      <c r="E443" s="1" t="s">
        <v>72</v>
      </c>
      <c r="F443" s="1" t="s">
        <v>98</v>
      </c>
      <c r="G443" s="1" t="s">
        <v>81</v>
      </c>
      <c r="H443" s="1" t="s">
        <v>61</v>
      </c>
      <c r="I443" s="1" t="s">
        <v>147</v>
      </c>
      <c r="J443" s="24">
        <v>377.99</v>
      </c>
      <c r="K443" s="24">
        <v>599.99</v>
      </c>
      <c r="L443" s="28">
        <v>222</v>
      </c>
      <c r="M443" s="1">
        <v>39</v>
      </c>
      <c r="N443" s="28">
        <v>23399.61</v>
      </c>
      <c r="O443" s="29">
        <v>0.09</v>
      </c>
      <c r="P443" s="28">
        <v>2105.9648999999999</v>
      </c>
      <c r="Q443" s="28">
        <v>21293.645100000002</v>
      </c>
      <c r="R443" s="1" t="str">
        <f t="shared" si="36"/>
        <v>Jul</v>
      </c>
      <c r="S443" s="28">
        <f t="shared" si="40"/>
        <v>14741.61</v>
      </c>
      <c r="T443" s="28">
        <f t="shared" si="41"/>
        <v>6552.035100000001</v>
      </c>
      <c r="U443" s="11">
        <f t="shared" si="37"/>
        <v>0.30769908436202875</v>
      </c>
      <c r="V443" s="1" t="str">
        <f t="shared" si="38"/>
        <v>Standard</v>
      </c>
      <c r="W443" s="1" t="str">
        <f t="shared" si="39"/>
        <v>OK</v>
      </c>
    </row>
    <row r="444" spans="1:23">
      <c r="A444" s="1">
        <v>57062</v>
      </c>
      <c r="B444" s="10">
        <v>45866</v>
      </c>
      <c r="C444" s="1">
        <v>10</v>
      </c>
      <c r="D444" s="1" t="s">
        <v>57</v>
      </c>
      <c r="E444" s="1" t="s">
        <v>58</v>
      </c>
      <c r="F444" s="1" t="s">
        <v>108</v>
      </c>
      <c r="G444" s="1" t="s">
        <v>81</v>
      </c>
      <c r="H444" s="1" t="s">
        <v>68</v>
      </c>
      <c r="I444" s="1" t="s">
        <v>110</v>
      </c>
      <c r="J444" s="24">
        <v>278.99</v>
      </c>
      <c r="K444" s="24">
        <v>449.99</v>
      </c>
      <c r="L444" s="28">
        <v>171</v>
      </c>
      <c r="M444" s="1">
        <v>5</v>
      </c>
      <c r="N444" s="28">
        <v>2249.9499999999998</v>
      </c>
      <c r="O444" s="29">
        <v>0.01</v>
      </c>
      <c r="P444" s="28">
        <v>22.499500000000001</v>
      </c>
      <c r="Q444" s="28">
        <v>2227.4504999999999</v>
      </c>
      <c r="R444" s="1" t="str">
        <f t="shared" si="36"/>
        <v>Jul</v>
      </c>
      <c r="S444" s="28">
        <f t="shared" si="40"/>
        <v>1394.95</v>
      </c>
      <c r="T444" s="28">
        <f t="shared" si="41"/>
        <v>832.50049999999987</v>
      </c>
      <c r="U444" s="11">
        <f t="shared" si="37"/>
        <v>0.37374590366879079</v>
      </c>
      <c r="V444" s="1" t="str">
        <f t="shared" si="38"/>
        <v>Slow</v>
      </c>
      <c r="W444" s="1" t="str">
        <f t="shared" si="39"/>
        <v>OK</v>
      </c>
    </row>
    <row r="445" spans="1:23">
      <c r="A445" s="1">
        <v>57063</v>
      </c>
      <c r="B445" s="10">
        <v>45867</v>
      </c>
      <c r="C445" s="1">
        <v>10</v>
      </c>
      <c r="D445" s="1" t="s">
        <v>57</v>
      </c>
      <c r="E445" s="1" t="s">
        <v>72</v>
      </c>
      <c r="F445" s="1" t="s">
        <v>59</v>
      </c>
      <c r="G445" s="1" t="s">
        <v>60</v>
      </c>
      <c r="H445" s="1" t="s">
        <v>61</v>
      </c>
      <c r="I445" s="1" t="s">
        <v>187</v>
      </c>
      <c r="J445" s="24">
        <v>2.2599999999999998</v>
      </c>
      <c r="K445" s="24">
        <v>3.58</v>
      </c>
      <c r="L445" s="28">
        <v>1.32</v>
      </c>
      <c r="M445" s="1">
        <v>52</v>
      </c>
      <c r="N445" s="28">
        <v>186.16</v>
      </c>
      <c r="O445" s="29">
        <v>0.06</v>
      </c>
      <c r="P445" s="28">
        <v>11.169600000000001</v>
      </c>
      <c r="Q445" s="28">
        <v>174.99039999999999</v>
      </c>
      <c r="R445" s="1" t="str">
        <f t="shared" si="36"/>
        <v>Jul</v>
      </c>
      <c r="S445" s="28">
        <f t="shared" si="40"/>
        <v>117.51999999999998</v>
      </c>
      <c r="T445" s="28">
        <f t="shared" si="41"/>
        <v>57.470400000000012</v>
      </c>
      <c r="U445" s="11">
        <f t="shared" si="37"/>
        <v>0.32842030191370508</v>
      </c>
      <c r="V445" s="1" t="str">
        <f t="shared" si="38"/>
        <v>Slow</v>
      </c>
      <c r="W445" s="1" t="str">
        <f t="shared" si="39"/>
        <v>OK</v>
      </c>
    </row>
    <row r="446" spans="1:23">
      <c r="A446" s="1">
        <v>57064</v>
      </c>
      <c r="B446" s="10">
        <v>45868</v>
      </c>
      <c r="C446" s="1">
        <v>1</v>
      </c>
      <c r="D446" s="1" t="s">
        <v>63</v>
      </c>
      <c r="E446" s="1" t="s">
        <v>87</v>
      </c>
      <c r="F446" s="1" t="s">
        <v>88</v>
      </c>
      <c r="G446" s="1" t="s">
        <v>60</v>
      </c>
      <c r="H446" s="1" t="s">
        <v>65</v>
      </c>
      <c r="I446" s="1" t="s">
        <v>140</v>
      </c>
      <c r="J446" s="24">
        <v>99.39</v>
      </c>
      <c r="K446" s="24">
        <v>162.93</v>
      </c>
      <c r="L446" s="28">
        <v>63.540000000000013</v>
      </c>
      <c r="M446" s="1">
        <v>37</v>
      </c>
      <c r="N446" s="28">
        <v>6028.41</v>
      </c>
      <c r="O446" s="29">
        <v>0.09</v>
      </c>
      <c r="P446" s="28">
        <v>542.55689999999993</v>
      </c>
      <c r="Q446" s="28">
        <v>5485.8531000000003</v>
      </c>
      <c r="R446" s="1" t="str">
        <f t="shared" si="36"/>
        <v>Jul</v>
      </c>
      <c r="S446" s="28">
        <f t="shared" si="40"/>
        <v>3677.43</v>
      </c>
      <c r="T446" s="28">
        <f t="shared" si="41"/>
        <v>1808.4231000000004</v>
      </c>
      <c r="U446" s="11">
        <f t="shared" si="37"/>
        <v>0.32965211919364018</v>
      </c>
      <c r="V446" s="1" t="str">
        <f t="shared" si="38"/>
        <v>Fast</v>
      </c>
      <c r="W446" s="1" t="str">
        <f t="shared" si="39"/>
        <v>OK</v>
      </c>
    </row>
    <row r="447" spans="1:23">
      <c r="A447" s="1">
        <v>57065</v>
      </c>
      <c r="B447" s="10">
        <v>45868</v>
      </c>
      <c r="C447" s="1">
        <v>16</v>
      </c>
      <c r="D447" s="1" t="s">
        <v>57</v>
      </c>
      <c r="E447" s="1" t="s">
        <v>72</v>
      </c>
      <c r="F447" s="1" t="s">
        <v>59</v>
      </c>
      <c r="G447" s="1" t="s">
        <v>60</v>
      </c>
      <c r="H447" s="1" t="s">
        <v>70</v>
      </c>
      <c r="I447" s="1" t="s">
        <v>149</v>
      </c>
      <c r="J447" s="24">
        <v>3.52</v>
      </c>
      <c r="K447" s="24">
        <v>5.68</v>
      </c>
      <c r="L447" s="28">
        <v>2.16</v>
      </c>
      <c r="M447" s="1">
        <v>8</v>
      </c>
      <c r="N447" s="28">
        <v>45.44</v>
      </c>
      <c r="O447" s="29">
        <v>0.05</v>
      </c>
      <c r="P447" s="28">
        <v>2.2719999999999998</v>
      </c>
      <c r="Q447" s="28">
        <v>43.167999999999999</v>
      </c>
      <c r="R447" s="1" t="str">
        <f t="shared" si="36"/>
        <v>Jul</v>
      </c>
      <c r="S447" s="28">
        <f t="shared" si="40"/>
        <v>28.16</v>
      </c>
      <c r="T447" s="28">
        <f t="shared" si="41"/>
        <v>15.007999999999999</v>
      </c>
      <c r="U447" s="11">
        <f t="shared" si="37"/>
        <v>0.34766493699036322</v>
      </c>
      <c r="V447" s="1" t="str">
        <f t="shared" si="38"/>
        <v>Very Slow</v>
      </c>
      <c r="W447" s="1" t="str">
        <f t="shared" si="39"/>
        <v>OK</v>
      </c>
    </row>
    <row r="448" spans="1:23">
      <c r="A448" s="1">
        <v>57066</v>
      </c>
      <c r="B448" s="10">
        <v>45868</v>
      </c>
      <c r="C448" s="1">
        <v>2</v>
      </c>
      <c r="D448" s="1" t="s">
        <v>63</v>
      </c>
      <c r="E448" s="1" t="s">
        <v>72</v>
      </c>
      <c r="F448" s="1" t="s">
        <v>98</v>
      </c>
      <c r="G448" s="1" t="s">
        <v>85</v>
      </c>
      <c r="H448" s="1" t="s">
        <v>90</v>
      </c>
      <c r="I448" s="1" t="s">
        <v>111</v>
      </c>
      <c r="J448" s="24">
        <v>11.38</v>
      </c>
      <c r="K448" s="24">
        <v>18.649999999999999</v>
      </c>
      <c r="L448" s="28">
        <v>7.2699999999999978</v>
      </c>
      <c r="M448" s="1">
        <v>19</v>
      </c>
      <c r="N448" s="28">
        <v>354.35</v>
      </c>
      <c r="O448" s="29">
        <v>0.1</v>
      </c>
      <c r="P448" s="28">
        <v>35.435000000000002</v>
      </c>
      <c r="Q448" s="28">
        <v>318.91500000000002</v>
      </c>
      <c r="R448" s="1" t="str">
        <f t="shared" si="36"/>
        <v>Jul</v>
      </c>
      <c r="S448" s="28">
        <f t="shared" si="40"/>
        <v>216.22000000000003</v>
      </c>
      <c r="T448" s="28">
        <f t="shared" si="41"/>
        <v>102.69499999999999</v>
      </c>
      <c r="U448" s="11">
        <f t="shared" si="37"/>
        <v>0.32201370271075358</v>
      </c>
      <c r="V448" s="1" t="str">
        <f t="shared" si="38"/>
        <v>Fast</v>
      </c>
      <c r="W448" s="1" t="str">
        <f t="shared" si="39"/>
        <v>OK</v>
      </c>
    </row>
    <row r="449" spans="1:23">
      <c r="A449" s="1">
        <v>57067</v>
      </c>
      <c r="B449" s="10">
        <v>45869</v>
      </c>
      <c r="C449" s="1">
        <v>9</v>
      </c>
      <c r="D449" s="1" t="s">
        <v>57</v>
      </c>
      <c r="E449" s="1" t="s">
        <v>67</v>
      </c>
      <c r="F449" s="1" t="s">
        <v>100</v>
      </c>
      <c r="G449" s="1" t="s">
        <v>60</v>
      </c>
      <c r="H449" s="1" t="s">
        <v>70</v>
      </c>
      <c r="I449" s="1" t="s">
        <v>93</v>
      </c>
      <c r="J449" s="24">
        <v>3.51</v>
      </c>
      <c r="K449" s="24">
        <v>8.57</v>
      </c>
      <c r="L449" s="28">
        <v>5.0599999999999996</v>
      </c>
      <c r="M449" s="1">
        <v>23</v>
      </c>
      <c r="N449" s="28">
        <v>197.11</v>
      </c>
      <c r="O449" s="29">
        <v>0.1</v>
      </c>
      <c r="P449" s="28">
        <v>19.710999999999999</v>
      </c>
      <c r="Q449" s="28">
        <v>177.399</v>
      </c>
      <c r="R449" s="1" t="str">
        <f t="shared" si="36"/>
        <v>Jul</v>
      </c>
      <c r="S449" s="28">
        <f t="shared" si="40"/>
        <v>80.72999999999999</v>
      </c>
      <c r="T449" s="28">
        <f t="shared" si="41"/>
        <v>96.669000000000011</v>
      </c>
      <c r="U449" s="11">
        <f t="shared" si="37"/>
        <v>0.54492415402567096</v>
      </c>
      <c r="V449" s="1" t="str">
        <f t="shared" si="38"/>
        <v>Slow</v>
      </c>
      <c r="W449" s="1" t="str">
        <f t="shared" si="39"/>
        <v>OK</v>
      </c>
    </row>
    <row r="450" spans="1:23">
      <c r="A450" s="1">
        <v>57068</v>
      </c>
      <c r="B450" s="10">
        <v>45869</v>
      </c>
      <c r="C450" s="1">
        <v>3</v>
      </c>
      <c r="D450" s="1" t="s">
        <v>78</v>
      </c>
      <c r="E450" s="1" t="s">
        <v>87</v>
      </c>
      <c r="F450" s="1" t="s">
        <v>75</v>
      </c>
      <c r="G450" s="1" t="s">
        <v>60</v>
      </c>
      <c r="H450" s="1" t="s">
        <v>90</v>
      </c>
      <c r="I450" s="1" t="s">
        <v>129</v>
      </c>
      <c r="J450" s="24">
        <v>0.93</v>
      </c>
      <c r="K450" s="24">
        <v>1.6</v>
      </c>
      <c r="L450" s="28">
        <v>0.67</v>
      </c>
      <c r="M450" s="1">
        <v>22</v>
      </c>
      <c r="N450" s="28">
        <v>35.200000000000003</v>
      </c>
      <c r="O450" s="29">
        <v>0.04</v>
      </c>
      <c r="P450" s="28">
        <v>1.4079999999999999</v>
      </c>
      <c r="Q450" s="28">
        <v>33.792000000000002</v>
      </c>
      <c r="R450" s="1" t="str">
        <f t="shared" si="36"/>
        <v>Jul</v>
      </c>
      <c r="S450" s="28">
        <f t="shared" si="40"/>
        <v>20.46</v>
      </c>
      <c r="T450" s="28">
        <f t="shared" si="41"/>
        <v>13.332000000000001</v>
      </c>
      <c r="U450" s="11">
        <f t="shared" si="37"/>
        <v>0.39453125</v>
      </c>
      <c r="V450" s="1" t="str">
        <f t="shared" si="38"/>
        <v>Fast</v>
      </c>
      <c r="W450" s="1" t="str">
        <f t="shared" si="39"/>
        <v>OK</v>
      </c>
    </row>
    <row r="451" spans="1:23">
      <c r="A451" s="1">
        <v>57069</v>
      </c>
      <c r="B451" s="10">
        <v>45870</v>
      </c>
      <c r="C451" s="1">
        <v>1</v>
      </c>
      <c r="D451" s="1" t="s">
        <v>57</v>
      </c>
      <c r="E451" s="1" t="s">
        <v>72</v>
      </c>
      <c r="F451" s="1" t="s">
        <v>73</v>
      </c>
      <c r="G451" s="1" t="s">
        <v>60</v>
      </c>
      <c r="H451" s="1" t="s">
        <v>65</v>
      </c>
      <c r="I451" s="1" t="s">
        <v>95</v>
      </c>
      <c r="J451" s="24">
        <v>1.31</v>
      </c>
      <c r="K451" s="24">
        <v>2.84</v>
      </c>
      <c r="L451" s="28">
        <v>1.53</v>
      </c>
      <c r="M451" s="1">
        <v>8</v>
      </c>
      <c r="N451" s="28">
        <v>22.72</v>
      </c>
      <c r="O451" s="29">
        <v>0.08</v>
      </c>
      <c r="P451" s="28">
        <v>1.8176000000000001</v>
      </c>
      <c r="Q451" s="28">
        <v>20.9024</v>
      </c>
      <c r="R451" s="1" t="str">
        <f t="shared" si="36"/>
        <v>Aug</v>
      </c>
      <c r="S451" s="28">
        <f t="shared" si="40"/>
        <v>10.48</v>
      </c>
      <c r="T451" s="28">
        <f t="shared" si="41"/>
        <v>10.4224</v>
      </c>
      <c r="U451" s="11">
        <f t="shared" si="37"/>
        <v>0.49862216778934476</v>
      </c>
      <c r="V451" s="1" t="str">
        <f t="shared" si="38"/>
        <v>Fast</v>
      </c>
      <c r="W451" s="1" t="str">
        <f t="shared" si="39"/>
        <v>OK</v>
      </c>
    </row>
    <row r="452" spans="1:23">
      <c r="A452" s="1">
        <v>57070</v>
      </c>
      <c r="B452" s="10">
        <v>45871</v>
      </c>
      <c r="C452" s="1">
        <v>16</v>
      </c>
      <c r="D452" s="1" t="s">
        <v>57</v>
      </c>
      <c r="E452" s="1" t="s">
        <v>58</v>
      </c>
      <c r="F452" s="1" t="s">
        <v>96</v>
      </c>
      <c r="G452" s="1" t="s">
        <v>85</v>
      </c>
      <c r="H452" s="1" t="s">
        <v>61</v>
      </c>
      <c r="I452" s="1" t="s">
        <v>86</v>
      </c>
      <c r="J452" s="24">
        <v>5.5</v>
      </c>
      <c r="K452" s="24">
        <v>12.22</v>
      </c>
      <c r="L452" s="28">
        <v>6.7200000000000006</v>
      </c>
      <c r="M452" s="1">
        <v>7</v>
      </c>
      <c r="N452" s="28">
        <v>85.54</v>
      </c>
      <c r="O452" s="29">
        <v>0.1</v>
      </c>
      <c r="P452" s="28">
        <v>8.5540000000000003</v>
      </c>
      <c r="Q452" s="28">
        <v>76.986000000000004</v>
      </c>
      <c r="R452" s="1" t="str">
        <f t="shared" si="36"/>
        <v>Aug</v>
      </c>
      <c r="S452" s="28">
        <f t="shared" si="40"/>
        <v>38.5</v>
      </c>
      <c r="T452" s="28">
        <f t="shared" si="41"/>
        <v>38.486000000000004</v>
      </c>
      <c r="U452" s="11">
        <f t="shared" si="37"/>
        <v>0.49990907437715953</v>
      </c>
      <c r="V452" s="1" t="str">
        <f t="shared" si="38"/>
        <v>Very Slow</v>
      </c>
      <c r="W452" s="1" t="str">
        <f t="shared" si="39"/>
        <v>OK</v>
      </c>
    </row>
    <row r="453" spans="1:23">
      <c r="A453" s="1">
        <v>57071</v>
      </c>
      <c r="B453" s="10">
        <v>45872</v>
      </c>
      <c r="C453" s="1">
        <v>17</v>
      </c>
      <c r="D453" s="1" t="s">
        <v>57</v>
      </c>
      <c r="E453" s="1" t="s">
        <v>72</v>
      </c>
      <c r="F453" s="1" t="s">
        <v>100</v>
      </c>
      <c r="G453" s="1" t="s">
        <v>81</v>
      </c>
      <c r="H453" s="1" t="s">
        <v>65</v>
      </c>
      <c r="I453" s="1" t="s">
        <v>92</v>
      </c>
      <c r="J453" s="24">
        <v>32.020000000000003</v>
      </c>
      <c r="K453" s="24">
        <v>152.47999999999999</v>
      </c>
      <c r="L453" s="28">
        <v>120.46</v>
      </c>
      <c r="M453" s="1">
        <v>11</v>
      </c>
      <c r="N453" s="28">
        <v>1677.28</v>
      </c>
      <c r="O453" s="29">
        <v>0.1</v>
      </c>
      <c r="P453" s="28">
        <v>167.72800000000001</v>
      </c>
      <c r="Q453" s="28">
        <v>1509.5519999999999</v>
      </c>
      <c r="R453" s="1" t="str">
        <f t="shared" ref="R453:R516" si="42">TEXT(B453,"mmm")</f>
        <v>Aug</v>
      </c>
      <c r="S453" s="28">
        <f t="shared" si="40"/>
        <v>352.22</v>
      </c>
      <c r="T453" s="28">
        <f t="shared" si="41"/>
        <v>1157.3319999999999</v>
      </c>
      <c r="U453" s="11">
        <f t="shared" ref="U453:U516" si="43">IF(Q453=0,0,T453/Q453)</f>
        <v>0.76667249621079625</v>
      </c>
      <c r="V453" s="1" t="str">
        <f t="shared" ref="V453:V516" si="44">IF(C453&lt;=3,"Fast",IF(C453&lt;=7,"Standard",IF(C453&lt;=14,"Slow","Very Slow")))</f>
        <v>Very Slow</v>
      </c>
      <c r="W453" s="1" t="str">
        <f t="shared" ref="W453:W516" si="45">IF(OR(H453="Not Specifiedd",P453&lt;0),"Review","OK")</f>
        <v>OK</v>
      </c>
    </row>
    <row r="454" spans="1:23">
      <c r="A454" s="1">
        <v>57072</v>
      </c>
      <c r="B454" s="10">
        <v>45872</v>
      </c>
      <c r="C454" s="1">
        <v>13</v>
      </c>
      <c r="D454" s="1" t="s">
        <v>57</v>
      </c>
      <c r="E454" s="1" t="s">
        <v>72</v>
      </c>
      <c r="F454" s="1" t="s">
        <v>59</v>
      </c>
      <c r="G454" s="1" t="s">
        <v>60</v>
      </c>
      <c r="H454" s="1" t="s">
        <v>90</v>
      </c>
      <c r="I454" s="1" t="s">
        <v>95</v>
      </c>
      <c r="J454" s="24">
        <v>1.31</v>
      </c>
      <c r="K454" s="24">
        <v>2.84</v>
      </c>
      <c r="L454" s="28">
        <v>1.53</v>
      </c>
      <c r="M454" s="1">
        <v>26</v>
      </c>
      <c r="N454" s="28">
        <v>73.84</v>
      </c>
      <c r="O454" s="29">
        <v>0.06</v>
      </c>
      <c r="P454" s="28">
        <v>4.4303999999999997</v>
      </c>
      <c r="Q454" s="28">
        <v>69.409599999999998</v>
      </c>
      <c r="R454" s="1" t="str">
        <f t="shared" si="42"/>
        <v>Aug</v>
      </c>
      <c r="S454" s="28">
        <f t="shared" ref="S454:S517" si="46">J454*M454</f>
        <v>34.06</v>
      </c>
      <c r="T454" s="28">
        <f t="shared" ref="T454:T517" si="47">Q454-S454</f>
        <v>35.349599999999995</v>
      </c>
      <c r="U454" s="11">
        <f t="shared" si="43"/>
        <v>0.50928978124063529</v>
      </c>
      <c r="V454" s="1" t="str">
        <f t="shared" si="44"/>
        <v>Slow</v>
      </c>
      <c r="W454" s="1" t="str">
        <f t="shared" si="45"/>
        <v>OK</v>
      </c>
    </row>
    <row r="455" spans="1:23">
      <c r="A455" s="1">
        <v>57073</v>
      </c>
      <c r="B455" s="10">
        <v>45872</v>
      </c>
      <c r="C455" s="1">
        <v>17</v>
      </c>
      <c r="D455" s="1" t="s">
        <v>57</v>
      </c>
      <c r="E455" s="1" t="s">
        <v>67</v>
      </c>
      <c r="F455" s="1" t="s">
        <v>100</v>
      </c>
      <c r="G455" s="1" t="s">
        <v>60</v>
      </c>
      <c r="H455" s="1" t="s">
        <v>70</v>
      </c>
      <c r="I455" s="1" t="s">
        <v>221</v>
      </c>
      <c r="J455" s="24">
        <v>19.829999999999998</v>
      </c>
      <c r="K455" s="24">
        <v>30.98</v>
      </c>
      <c r="L455" s="28">
        <v>11.15</v>
      </c>
      <c r="M455" s="1">
        <v>39</v>
      </c>
      <c r="N455" s="28">
        <v>1208.22</v>
      </c>
      <c r="O455" s="29">
        <v>0.04</v>
      </c>
      <c r="P455" s="28">
        <v>48.328800000000001</v>
      </c>
      <c r="Q455" s="28">
        <v>1159.8912</v>
      </c>
      <c r="R455" s="1" t="str">
        <f t="shared" si="42"/>
        <v>Aug</v>
      </c>
      <c r="S455" s="28">
        <f t="shared" si="46"/>
        <v>773.36999999999989</v>
      </c>
      <c r="T455" s="28">
        <f t="shared" si="47"/>
        <v>386.52120000000014</v>
      </c>
      <c r="U455" s="11">
        <f t="shared" si="43"/>
        <v>0.33323918657198204</v>
      </c>
      <c r="V455" s="1" t="str">
        <f t="shared" si="44"/>
        <v>Very Slow</v>
      </c>
      <c r="W455" s="1" t="str">
        <f t="shared" si="45"/>
        <v>OK</v>
      </c>
    </row>
    <row r="456" spans="1:23">
      <c r="A456" s="1">
        <v>57074</v>
      </c>
      <c r="B456" s="10">
        <v>45873</v>
      </c>
      <c r="C456" s="1">
        <v>20</v>
      </c>
      <c r="D456" s="1" t="s">
        <v>57</v>
      </c>
      <c r="E456" s="1" t="s">
        <v>58</v>
      </c>
      <c r="F456" s="1" t="s">
        <v>59</v>
      </c>
      <c r="G456" s="1" t="s">
        <v>81</v>
      </c>
      <c r="H456" s="1" t="s">
        <v>70</v>
      </c>
      <c r="I456" s="1" t="s">
        <v>150</v>
      </c>
      <c r="J456" s="24">
        <v>8.82</v>
      </c>
      <c r="K456" s="24">
        <v>20.99</v>
      </c>
      <c r="L456" s="28">
        <v>12.17</v>
      </c>
      <c r="M456" s="1">
        <v>2</v>
      </c>
      <c r="N456" s="28">
        <v>41.98</v>
      </c>
      <c r="O456" s="29">
        <v>0.01</v>
      </c>
      <c r="P456" s="28">
        <v>0.41980000000000001</v>
      </c>
      <c r="Q456" s="28">
        <v>41.560199999999988</v>
      </c>
      <c r="R456" s="1" t="str">
        <f t="shared" si="42"/>
        <v>Aug</v>
      </c>
      <c r="S456" s="28">
        <f t="shared" si="46"/>
        <v>17.64</v>
      </c>
      <c r="T456" s="28">
        <f t="shared" si="47"/>
        <v>23.920199999999987</v>
      </c>
      <c r="U456" s="11">
        <f t="shared" si="43"/>
        <v>0.57555545930962781</v>
      </c>
      <c r="V456" s="1" t="str">
        <f t="shared" si="44"/>
        <v>Very Slow</v>
      </c>
      <c r="W456" s="1" t="str">
        <f t="shared" si="45"/>
        <v>OK</v>
      </c>
    </row>
    <row r="457" spans="1:23">
      <c r="A457" s="1">
        <v>57075</v>
      </c>
      <c r="B457" s="10">
        <v>45873</v>
      </c>
      <c r="C457" s="1">
        <v>4</v>
      </c>
      <c r="D457" s="1" t="s">
        <v>78</v>
      </c>
      <c r="E457" s="1" t="s">
        <v>72</v>
      </c>
      <c r="F457" s="1" t="s">
        <v>75</v>
      </c>
      <c r="G457" s="1" t="s">
        <v>81</v>
      </c>
      <c r="H457" s="1" t="s">
        <v>90</v>
      </c>
      <c r="I457" s="1" t="s">
        <v>92</v>
      </c>
      <c r="J457" s="24">
        <v>32.020000000000003</v>
      </c>
      <c r="K457" s="24">
        <v>152.47999999999999</v>
      </c>
      <c r="L457" s="28">
        <v>120.46</v>
      </c>
      <c r="M457" s="1">
        <v>42</v>
      </c>
      <c r="N457" s="28">
        <v>6404.16</v>
      </c>
      <c r="O457" s="29">
        <v>0.1</v>
      </c>
      <c r="P457" s="28">
        <v>640.41600000000005</v>
      </c>
      <c r="Q457" s="28">
        <v>5763.7439999999997</v>
      </c>
      <c r="R457" s="1" t="str">
        <f t="shared" si="42"/>
        <v>Aug</v>
      </c>
      <c r="S457" s="28">
        <f t="shared" si="46"/>
        <v>1344.8400000000001</v>
      </c>
      <c r="T457" s="28">
        <f t="shared" si="47"/>
        <v>4418.9039999999995</v>
      </c>
      <c r="U457" s="11">
        <f t="shared" si="43"/>
        <v>0.76667249621079625</v>
      </c>
      <c r="V457" s="1" t="str">
        <f t="shared" si="44"/>
        <v>Standard</v>
      </c>
      <c r="W457" s="1" t="str">
        <f t="shared" si="45"/>
        <v>OK</v>
      </c>
    </row>
    <row r="458" spans="1:23">
      <c r="A458" s="1">
        <v>57076</v>
      </c>
      <c r="B458" s="10">
        <v>45873</v>
      </c>
      <c r="C458" s="1">
        <v>1</v>
      </c>
      <c r="D458" s="1" t="s">
        <v>57</v>
      </c>
      <c r="E458" s="1" t="s">
        <v>87</v>
      </c>
      <c r="F458" s="1" t="s">
        <v>75</v>
      </c>
      <c r="G458" s="1" t="s">
        <v>81</v>
      </c>
      <c r="H458" s="1" t="s">
        <v>90</v>
      </c>
      <c r="I458" s="1" t="s">
        <v>166</v>
      </c>
      <c r="J458" s="24">
        <v>20.18</v>
      </c>
      <c r="K458" s="24">
        <v>35.409999999999997</v>
      </c>
      <c r="L458" s="28">
        <v>15.23</v>
      </c>
      <c r="M458" s="1">
        <v>33</v>
      </c>
      <c r="N458" s="28">
        <v>1168.53</v>
      </c>
      <c r="O458" s="29">
        <v>0.08</v>
      </c>
      <c r="P458" s="28">
        <v>93.482399999999998</v>
      </c>
      <c r="Q458" s="28">
        <v>1075.0476000000001</v>
      </c>
      <c r="R458" s="1" t="str">
        <f t="shared" si="42"/>
        <v>Aug</v>
      </c>
      <c r="S458" s="28">
        <f t="shared" si="46"/>
        <v>665.93999999999994</v>
      </c>
      <c r="T458" s="28">
        <f t="shared" si="47"/>
        <v>409.10760000000016</v>
      </c>
      <c r="U458" s="11">
        <f t="shared" si="43"/>
        <v>0.38054835897498873</v>
      </c>
      <c r="V458" s="1" t="str">
        <f t="shared" si="44"/>
        <v>Fast</v>
      </c>
      <c r="W458" s="1" t="str">
        <f t="shared" si="45"/>
        <v>OK</v>
      </c>
    </row>
    <row r="459" spans="1:23">
      <c r="A459" s="1">
        <v>57077</v>
      </c>
      <c r="B459" s="10">
        <v>45873</v>
      </c>
      <c r="C459" s="1">
        <v>1</v>
      </c>
      <c r="D459" s="1" t="s">
        <v>78</v>
      </c>
      <c r="E459" s="1" t="s">
        <v>58</v>
      </c>
      <c r="F459" s="1" t="s">
        <v>59</v>
      </c>
      <c r="G459" s="1" t="s">
        <v>60</v>
      </c>
      <c r="H459" s="1" t="s">
        <v>70</v>
      </c>
      <c r="I459" s="1" t="s">
        <v>179</v>
      </c>
      <c r="J459" s="24">
        <v>0.71</v>
      </c>
      <c r="K459" s="24">
        <v>1.1399999999999999</v>
      </c>
      <c r="L459" s="28">
        <v>0.42999999999999988</v>
      </c>
      <c r="M459" s="1">
        <v>33</v>
      </c>
      <c r="N459" s="28">
        <v>37.619999999999997</v>
      </c>
      <c r="O459" s="29">
        <v>7.0000000000000007E-2</v>
      </c>
      <c r="P459" s="28">
        <v>2.6334</v>
      </c>
      <c r="Q459" s="28">
        <v>34.986600000000003</v>
      </c>
      <c r="R459" s="1" t="str">
        <f t="shared" si="42"/>
        <v>Aug</v>
      </c>
      <c r="S459" s="28">
        <f t="shared" si="46"/>
        <v>23.43</v>
      </c>
      <c r="T459" s="28">
        <f t="shared" si="47"/>
        <v>11.556600000000003</v>
      </c>
      <c r="U459" s="11">
        <f t="shared" si="43"/>
        <v>0.33031503489907571</v>
      </c>
      <c r="V459" s="1" t="str">
        <f t="shared" si="44"/>
        <v>Fast</v>
      </c>
      <c r="W459" s="1" t="str">
        <f t="shared" si="45"/>
        <v>OK</v>
      </c>
    </row>
    <row r="460" spans="1:23">
      <c r="A460" s="1">
        <v>57078</v>
      </c>
      <c r="B460" s="10">
        <v>45873</v>
      </c>
      <c r="C460" s="1">
        <v>23</v>
      </c>
      <c r="D460" s="1" t="s">
        <v>57</v>
      </c>
      <c r="E460" s="1" t="s">
        <v>67</v>
      </c>
      <c r="F460" s="1" t="s">
        <v>79</v>
      </c>
      <c r="G460" s="1" t="s">
        <v>60</v>
      </c>
      <c r="H460" s="1" t="s">
        <v>65</v>
      </c>
      <c r="I460" s="1" t="s">
        <v>140</v>
      </c>
      <c r="J460" s="24">
        <v>99.39</v>
      </c>
      <c r="K460" s="24">
        <v>162.93</v>
      </c>
      <c r="L460" s="28">
        <v>63.540000000000013</v>
      </c>
      <c r="M460" s="1">
        <v>36</v>
      </c>
      <c r="N460" s="28">
        <v>5865.48</v>
      </c>
      <c r="O460" s="29">
        <v>0.05</v>
      </c>
      <c r="P460" s="28">
        <v>293.27400000000011</v>
      </c>
      <c r="Q460" s="28">
        <v>5572.2060000000001</v>
      </c>
      <c r="R460" s="1" t="str">
        <f t="shared" si="42"/>
        <v>Aug</v>
      </c>
      <c r="S460" s="28">
        <f t="shared" si="46"/>
        <v>3578.04</v>
      </c>
      <c r="T460" s="28">
        <f t="shared" si="47"/>
        <v>1994.1660000000002</v>
      </c>
      <c r="U460" s="11">
        <f t="shared" si="43"/>
        <v>0.35787729312232897</v>
      </c>
      <c r="V460" s="1" t="str">
        <f t="shared" si="44"/>
        <v>Very Slow</v>
      </c>
      <c r="W460" s="1" t="str">
        <f t="shared" si="45"/>
        <v>OK</v>
      </c>
    </row>
    <row r="461" spans="1:23">
      <c r="A461" s="1">
        <v>57079</v>
      </c>
      <c r="B461" s="10">
        <v>45874</v>
      </c>
      <c r="C461" s="1">
        <v>9</v>
      </c>
      <c r="D461" s="1" t="s">
        <v>57</v>
      </c>
      <c r="E461" s="1" t="s">
        <v>58</v>
      </c>
      <c r="F461" s="1" t="s">
        <v>75</v>
      </c>
      <c r="G461" s="1" t="s">
        <v>60</v>
      </c>
      <c r="H461" s="1" t="s">
        <v>70</v>
      </c>
      <c r="I461" s="1" t="s">
        <v>107</v>
      </c>
      <c r="J461" s="24">
        <v>13.88</v>
      </c>
      <c r="K461" s="24">
        <v>22.38</v>
      </c>
      <c r="L461" s="28">
        <v>8.4999999999999982</v>
      </c>
      <c r="M461" s="1">
        <v>12</v>
      </c>
      <c r="N461" s="28">
        <v>268.56</v>
      </c>
      <c r="O461" s="29">
        <v>0.01</v>
      </c>
      <c r="P461" s="28">
        <v>2.6856</v>
      </c>
      <c r="Q461" s="28">
        <v>265.87439999999998</v>
      </c>
      <c r="R461" s="1" t="str">
        <f t="shared" si="42"/>
        <v>Aug</v>
      </c>
      <c r="S461" s="28">
        <f t="shared" si="46"/>
        <v>166.56</v>
      </c>
      <c r="T461" s="28">
        <f t="shared" si="47"/>
        <v>99.314399999999978</v>
      </c>
      <c r="U461" s="11">
        <f t="shared" si="43"/>
        <v>0.37353878372645122</v>
      </c>
      <c r="V461" s="1" t="str">
        <f t="shared" si="44"/>
        <v>Slow</v>
      </c>
      <c r="W461" s="1" t="str">
        <f t="shared" si="45"/>
        <v>OK</v>
      </c>
    </row>
    <row r="462" spans="1:23">
      <c r="A462" s="1">
        <v>57080</v>
      </c>
      <c r="B462" s="10">
        <v>45874</v>
      </c>
      <c r="C462" s="1">
        <v>2</v>
      </c>
      <c r="D462" s="1" t="s">
        <v>78</v>
      </c>
      <c r="E462" s="1" t="s">
        <v>87</v>
      </c>
      <c r="F462" s="1" t="s">
        <v>73</v>
      </c>
      <c r="G462" s="1" t="s">
        <v>60</v>
      </c>
      <c r="H462" s="1" t="s">
        <v>61</v>
      </c>
      <c r="I462" s="1" t="s">
        <v>167</v>
      </c>
      <c r="J462" s="24">
        <v>0.9</v>
      </c>
      <c r="K462" s="24">
        <v>2.1</v>
      </c>
      <c r="L462" s="28">
        <v>1.2</v>
      </c>
      <c r="M462" s="1">
        <v>36</v>
      </c>
      <c r="N462" s="28">
        <v>75.600000000000009</v>
      </c>
      <c r="O462" s="29">
        <v>0.08</v>
      </c>
      <c r="P462" s="28">
        <v>6.0480000000000009</v>
      </c>
      <c r="Q462" s="28">
        <v>69.552000000000007</v>
      </c>
      <c r="R462" s="1" t="str">
        <f t="shared" si="42"/>
        <v>Aug</v>
      </c>
      <c r="S462" s="28">
        <f t="shared" si="46"/>
        <v>32.4</v>
      </c>
      <c r="T462" s="28">
        <f t="shared" si="47"/>
        <v>37.152000000000008</v>
      </c>
      <c r="U462" s="11">
        <f t="shared" si="43"/>
        <v>0.53416149068322993</v>
      </c>
      <c r="V462" s="1" t="str">
        <f t="shared" si="44"/>
        <v>Fast</v>
      </c>
      <c r="W462" s="1" t="str">
        <f t="shared" si="45"/>
        <v>OK</v>
      </c>
    </row>
    <row r="463" spans="1:23">
      <c r="A463" s="1">
        <v>57081</v>
      </c>
      <c r="B463" s="10">
        <v>45875</v>
      </c>
      <c r="C463" s="1">
        <v>5</v>
      </c>
      <c r="D463" s="1" t="s">
        <v>63</v>
      </c>
      <c r="E463" s="1" t="s">
        <v>87</v>
      </c>
      <c r="F463" s="1" t="s">
        <v>79</v>
      </c>
      <c r="G463" s="1" t="s">
        <v>60</v>
      </c>
      <c r="H463" s="1" t="s">
        <v>70</v>
      </c>
      <c r="I463" s="1" t="s">
        <v>149</v>
      </c>
      <c r="J463" s="24">
        <v>3.52</v>
      </c>
      <c r="K463" s="24">
        <v>5.68</v>
      </c>
      <c r="L463" s="28">
        <v>2.16</v>
      </c>
      <c r="M463" s="1">
        <v>38</v>
      </c>
      <c r="N463" s="28">
        <v>215.84</v>
      </c>
      <c r="O463" s="29">
        <v>0.1</v>
      </c>
      <c r="P463" s="28">
        <v>21.584</v>
      </c>
      <c r="Q463" s="28">
        <v>194.256</v>
      </c>
      <c r="R463" s="1" t="str">
        <f t="shared" si="42"/>
        <v>Aug</v>
      </c>
      <c r="S463" s="28">
        <f t="shared" si="46"/>
        <v>133.76</v>
      </c>
      <c r="T463" s="28">
        <f t="shared" si="47"/>
        <v>60.496000000000009</v>
      </c>
      <c r="U463" s="11">
        <f t="shared" si="43"/>
        <v>0.31142410015649458</v>
      </c>
      <c r="V463" s="1" t="str">
        <f t="shared" si="44"/>
        <v>Standard</v>
      </c>
      <c r="W463" s="1" t="str">
        <f t="shared" si="45"/>
        <v>OK</v>
      </c>
    </row>
    <row r="464" spans="1:23">
      <c r="A464" s="1">
        <v>57082</v>
      </c>
      <c r="B464" s="10">
        <v>45876</v>
      </c>
      <c r="C464" s="1">
        <v>5</v>
      </c>
      <c r="D464" s="1" t="s">
        <v>63</v>
      </c>
      <c r="E464" s="1" t="s">
        <v>67</v>
      </c>
      <c r="F464" s="1" t="s">
        <v>100</v>
      </c>
      <c r="G464" s="1" t="s">
        <v>60</v>
      </c>
      <c r="H464" s="1" t="s">
        <v>68</v>
      </c>
      <c r="I464" s="1" t="s">
        <v>123</v>
      </c>
      <c r="J464" s="24">
        <v>1.18</v>
      </c>
      <c r="K464" s="24">
        <v>1.88</v>
      </c>
      <c r="L464" s="28">
        <v>0.7</v>
      </c>
      <c r="M464" s="1">
        <v>23</v>
      </c>
      <c r="N464" s="28">
        <v>43.239999999999988</v>
      </c>
      <c r="O464" s="29">
        <v>7.0000000000000007E-2</v>
      </c>
      <c r="P464" s="28">
        <v>3.0268000000000002</v>
      </c>
      <c r="Q464" s="28">
        <v>40.213199999999993</v>
      </c>
      <c r="R464" s="1" t="str">
        <f t="shared" si="42"/>
        <v>Aug</v>
      </c>
      <c r="S464" s="28">
        <f t="shared" si="46"/>
        <v>27.139999999999997</v>
      </c>
      <c r="T464" s="28">
        <f t="shared" si="47"/>
        <v>13.073199999999996</v>
      </c>
      <c r="U464" s="11">
        <f t="shared" si="43"/>
        <v>0.32509723175474714</v>
      </c>
      <c r="V464" s="1" t="str">
        <f t="shared" si="44"/>
        <v>Standard</v>
      </c>
      <c r="W464" s="1" t="str">
        <f t="shared" si="45"/>
        <v>OK</v>
      </c>
    </row>
    <row r="465" spans="1:23">
      <c r="A465" s="1">
        <v>57083</v>
      </c>
      <c r="B465" s="10">
        <v>45877</v>
      </c>
      <c r="C465" s="1">
        <v>9</v>
      </c>
      <c r="D465" s="1" t="s">
        <v>57</v>
      </c>
      <c r="E465" s="1" t="s">
        <v>58</v>
      </c>
      <c r="F465" s="1" t="s">
        <v>18</v>
      </c>
      <c r="G465" s="1" t="s">
        <v>81</v>
      </c>
      <c r="H465" s="1" t="s">
        <v>70</v>
      </c>
      <c r="I465" s="1" t="s">
        <v>115</v>
      </c>
      <c r="J465" s="24">
        <v>81.59</v>
      </c>
      <c r="K465" s="24">
        <v>159.99</v>
      </c>
      <c r="L465" s="28">
        <v>78.400000000000006</v>
      </c>
      <c r="M465" s="1">
        <v>37</v>
      </c>
      <c r="N465" s="28">
        <v>5919.63</v>
      </c>
      <c r="O465" s="29">
        <v>0.01</v>
      </c>
      <c r="P465" s="28">
        <v>59.196300000000001</v>
      </c>
      <c r="Q465" s="28">
        <v>5860.4336999999996</v>
      </c>
      <c r="R465" s="1" t="str">
        <f t="shared" si="42"/>
        <v>Aug</v>
      </c>
      <c r="S465" s="28">
        <f t="shared" si="46"/>
        <v>3018.83</v>
      </c>
      <c r="T465" s="28">
        <f t="shared" si="47"/>
        <v>2841.6036999999997</v>
      </c>
      <c r="U465" s="11">
        <f t="shared" si="43"/>
        <v>0.48487942112543647</v>
      </c>
      <c r="V465" s="1" t="str">
        <f t="shared" si="44"/>
        <v>Slow</v>
      </c>
      <c r="W465" s="1" t="str">
        <f t="shared" si="45"/>
        <v>OK</v>
      </c>
    </row>
    <row r="466" spans="1:23">
      <c r="A466" s="1">
        <v>57084</v>
      </c>
      <c r="B466" s="10">
        <v>45877</v>
      </c>
      <c r="C466" s="1">
        <v>1</v>
      </c>
      <c r="D466" s="1" t="s">
        <v>78</v>
      </c>
      <c r="E466" s="1" t="s">
        <v>67</v>
      </c>
      <c r="F466" s="1" t="s">
        <v>75</v>
      </c>
      <c r="G466" s="1" t="s">
        <v>60</v>
      </c>
      <c r="H466" s="1" t="s">
        <v>90</v>
      </c>
      <c r="I466" s="1" t="s">
        <v>178</v>
      </c>
      <c r="J466" s="24">
        <v>2.41</v>
      </c>
      <c r="K466" s="24">
        <v>3.71</v>
      </c>
      <c r="L466" s="28">
        <v>1.3</v>
      </c>
      <c r="M466" s="1">
        <v>46</v>
      </c>
      <c r="N466" s="28">
        <v>170.66</v>
      </c>
      <c r="O466" s="29">
        <v>0.06</v>
      </c>
      <c r="P466" s="28">
        <v>10.239599999999999</v>
      </c>
      <c r="Q466" s="28">
        <v>160.4204</v>
      </c>
      <c r="R466" s="1" t="str">
        <f t="shared" si="42"/>
        <v>Aug</v>
      </c>
      <c r="S466" s="28">
        <f t="shared" si="46"/>
        <v>110.86000000000001</v>
      </c>
      <c r="T466" s="28">
        <f t="shared" si="47"/>
        <v>49.560399999999987</v>
      </c>
      <c r="U466" s="11">
        <f t="shared" si="43"/>
        <v>0.30894075815793992</v>
      </c>
      <c r="V466" s="1" t="str">
        <f t="shared" si="44"/>
        <v>Fast</v>
      </c>
      <c r="W466" s="1" t="str">
        <f t="shared" si="45"/>
        <v>OK</v>
      </c>
    </row>
    <row r="467" spans="1:23">
      <c r="A467" s="1">
        <v>57085</v>
      </c>
      <c r="B467" s="10">
        <v>45877</v>
      </c>
      <c r="C467" s="1">
        <v>23</v>
      </c>
      <c r="D467" s="1" t="s">
        <v>63</v>
      </c>
      <c r="E467" s="1" t="s">
        <v>87</v>
      </c>
      <c r="F467" s="1" t="s">
        <v>84</v>
      </c>
      <c r="G467" s="1" t="s">
        <v>60</v>
      </c>
      <c r="H467" s="1" t="s">
        <v>65</v>
      </c>
      <c r="I467" s="1" t="s">
        <v>218</v>
      </c>
      <c r="J467" s="24">
        <v>1.88</v>
      </c>
      <c r="K467" s="24">
        <v>3.14</v>
      </c>
      <c r="L467" s="28">
        <v>1.26</v>
      </c>
      <c r="M467" s="1">
        <v>34</v>
      </c>
      <c r="N467" s="28">
        <v>106.76</v>
      </c>
      <c r="O467" s="29">
        <v>0.03</v>
      </c>
      <c r="P467" s="28">
        <v>3.2027999999999999</v>
      </c>
      <c r="Q467" s="28">
        <v>103.55719999999999</v>
      </c>
      <c r="R467" s="1" t="str">
        <f t="shared" si="42"/>
        <v>Aug</v>
      </c>
      <c r="S467" s="28">
        <f t="shared" si="46"/>
        <v>63.919999999999995</v>
      </c>
      <c r="T467" s="28">
        <f t="shared" si="47"/>
        <v>39.6372</v>
      </c>
      <c r="U467" s="11">
        <f t="shared" si="43"/>
        <v>0.38275658283537989</v>
      </c>
      <c r="V467" s="1" t="str">
        <f t="shared" si="44"/>
        <v>Very Slow</v>
      </c>
      <c r="W467" s="1" t="str">
        <f t="shared" si="45"/>
        <v>OK</v>
      </c>
    </row>
    <row r="468" spans="1:23">
      <c r="A468" s="1">
        <v>57086</v>
      </c>
      <c r="B468" s="10">
        <v>45878</v>
      </c>
      <c r="C468" s="1">
        <v>9</v>
      </c>
      <c r="D468" s="1" t="s">
        <v>78</v>
      </c>
      <c r="E468" s="1" t="s">
        <v>58</v>
      </c>
      <c r="F468" s="1" t="s">
        <v>100</v>
      </c>
      <c r="G468" s="1" t="s">
        <v>60</v>
      </c>
      <c r="H468" s="1" t="s">
        <v>68</v>
      </c>
      <c r="I468" s="1" t="s">
        <v>205</v>
      </c>
      <c r="J468" s="24">
        <v>2.5</v>
      </c>
      <c r="K468" s="24">
        <v>5.68</v>
      </c>
      <c r="L468" s="28">
        <v>3.18</v>
      </c>
      <c r="M468" s="1">
        <v>32</v>
      </c>
      <c r="N468" s="28">
        <v>181.76</v>
      </c>
      <c r="O468" s="29">
        <v>0.03</v>
      </c>
      <c r="P468" s="28">
        <v>5.4527999999999999</v>
      </c>
      <c r="Q468" s="28">
        <v>176.30719999999999</v>
      </c>
      <c r="R468" s="1" t="str">
        <f t="shared" si="42"/>
        <v>Aug</v>
      </c>
      <c r="S468" s="28">
        <f t="shared" si="46"/>
        <v>80</v>
      </c>
      <c r="T468" s="28">
        <f t="shared" si="47"/>
        <v>96.307199999999995</v>
      </c>
      <c r="U468" s="11">
        <f t="shared" si="43"/>
        <v>0.5462465514737912</v>
      </c>
      <c r="V468" s="1" t="str">
        <f t="shared" si="44"/>
        <v>Slow</v>
      </c>
      <c r="W468" s="1" t="str">
        <f t="shared" si="45"/>
        <v>OK</v>
      </c>
    </row>
    <row r="469" spans="1:23">
      <c r="A469" s="1">
        <v>57087</v>
      </c>
      <c r="B469" s="10">
        <v>45878</v>
      </c>
      <c r="C469" s="1">
        <v>7</v>
      </c>
      <c r="D469" s="1" t="s">
        <v>63</v>
      </c>
      <c r="E469" s="1" t="s">
        <v>72</v>
      </c>
      <c r="F469" s="1" t="s">
        <v>59</v>
      </c>
      <c r="G469" s="1" t="s">
        <v>60</v>
      </c>
      <c r="H469" s="1" t="s">
        <v>61</v>
      </c>
      <c r="I469" s="1" t="s">
        <v>103</v>
      </c>
      <c r="J469" s="24">
        <v>4.59</v>
      </c>
      <c r="K469" s="24">
        <v>7.28</v>
      </c>
      <c r="L469" s="28">
        <v>2.69</v>
      </c>
      <c r="M469" s="1">
        <v>15</v>
      </c>
      <c r="N469" s="28">
        <v>109.2</v>
      </c>
      <c r="O469" s="29">
        <v>7.0000000000000007E-2</v>
      </c>
      <c r="P469" s="28">
        <v>7.644000000000001</v>
      </c>
      <c r="Q469" s="28">
        <v>101.556</v>
      </c>
      <c r="R469" s="1" t="str">
        <f t="shared" si="42"/>
        <v>Aug</v>
      </c>
      <c r="S469" s="28">
        <f t="shared" si="46"/>
        <v>68.849999999999994</v>
      </c>
      <c r="T469" s="28">
        <f t="shared" si="47"/>
        <v>32.706000000000003</v>
      </c>
      <c r="U469" s="11">
        <f t="shared" si="43"/>
        <v>0.32204891882311243</v>
      </c>
      <c r="V469" s="1" t="str">
        <f t="shared" si="44"/>
        <v>Standard</v>
      </c>
      <c r="W469" s="1" t="str">
        <f t="shared" si="45"/>
        <v>OK</v>
      </c>
    </row>
    <row r="470" spans="1:23">
      <c r="A470" s="1">
        <v>57088</v>
      </c>
      <c r="B470" s="10">
        <v>45878</v>
      </c>
      <c r="C470" s="1">
        <v>21</v>
      </c>
      <c r="D470" s="1" t="s">
        <v>57</v>
      </c>
      <c r="E470" s="1" t="s">
        <v>72</v>
      </c>
      <c r="F470" s="1" t="s">
        <v>59</v>
      </c>
      <c r="G470" s="1" t="s">
        <v>60</v>
      </c>
      <c r="H470" s="1" t="s">
        <v>68</v>
      </c>
      <c r="I470" s="1" t="s">
        <v>184</v>
      </c>
      <c r="J470" s="24">
        <v>21.56</v>
      </c>
      <c r="K470" s="24">
        <v>36.549999999999997</v>
      </c>
      <c r="L470" s="28">
        <v>14.99</v>
      </c>
      <c r="M470" s="1">
        <v>47</v>
      </c>
      <c r="N470" s="28">
        <v>1717.85</v>
      </c>
      <c r="O470" s="29">
        <v>7.0000000000000007E-2</v>
      </c>
      <c r="P470" s="28">
        <v>120.2495</v>
      </c>
      <c r="Q470" s="28">
        <v>1597.6005</v>
      </c>
      <c r="R470" s="1" t="str">
        <f t="shared" si="42"/>
        <v>Aug</v>
      </c>
      <c r="S470" s="28">
        <f t="shared" si="46"/>
        <v>1013.3199999999999</v>
      </c>
      <c r="T470" s="28">
        <f t="shared" si="47"/>
        <v>584.28050000000007</v>
      </c>
      <c r="U470" s="11">
        <f t="shared" si="43"/>
        <v>0.36572378388714832</v>
      </c>
      <c r="V470" s="1" t="str">
        <f t="shared" si="44"/>
        <v>Very Slow</v>
      </c>
      <c r="W470" s="1" t="str">
        <f t="shared" si="45"/>
        <v>OK</v>
      </c>
    </row>
    <row r="471" spans="1:23">
      <c r="A471" s="1">
        <v>57089</v>
      </c>
      <c r="B471" s="10">
        <v>45878</v>
      </c>
      <c r="C471" s="1">
        <v>23</v>
      </c>
      <c r="D471" s="1" t="s">
        <v>57</v>
      </c>
      <c r="E471" s="1" t="s">
        <v>67</v>
      </c>
      <c r="F471" s="1" t="s">
        <v>98</v>
      </c>
      <c r="G471" s="1" t="s">
        <v>81</v>
      </c>
      <c r="H471" s="1" t="s">
        <v>61</v>
      </c>
      <c r="I471" s="1" t="s">
        <v>166</v>
      </c>
      <c r="J471" s="24">
        <v>20.18</v>
      </c>
      <c r="K471" s="24">
        <v>35.409999999999997</v>
      </c>
      <c r="L471" s="28">
        <v>15.23</v>
      </c>
      <c r="M471" s="1">
        <v>24</v>
      </c>
      <c r="N471" s="28">
        <v>849.83999999999992</v>
      </c>
      <c r="O471" s="29">
        <v>0.01</v>
      </c>
      <c r="P471" s="28">
        <v>8.4984000000000002</v>
      </c>
      <c r="Q471" s="28">
        <v>841.34159999999997</v>
      </c>
      <c r="R471" s="1" t="str">
        <f t="shared" si="42"/>
        <v>Aug</v>
      </c>
      <c r="S471" s="28">
        <f t="shared" si="46"/>
        <v>484.32</v>
      </c>
      <c r="T471" s="28">
        <f t="shared" si="47"/>
        <v>357.02159999999998</v>
      </c>
      <c r="U471" s="11">
        <f t="shared" si="43"/>
        <v>0.4243479699565551</v>
      </c>
      <c r="V471" s="1" t="str">
        <f t="shared" si="44"/>
        <v>Very Slow</v>
      </c>
      <c r="W471" s="1" t="str">
        <f t="shared" si="45"/>
        <v>OK</v>
      </c>
    </row>
    <row r="472" spans="1:23">
      <c r="A472" s="1">
        <v>57090</v>
      </c>
      <c r="B472" s="10">
        <v>45878</v>
      </c>
      <c r="C472" s="1">
        <v>18</v>
      </c>
      <c r="D472" s="1" t="s">
        <v>78</v>
      </c>
      <c r="E472" s="1" t="s">
        <v>67</v>
      </c>
      <c r="F472" s="1" t="s">
        <v>100</v>
      </c>
      <c r="G472" s="1" t="s">
        <v>60</v>
      </c>
      <c r="H472" s="1" t="s">
        <v>90</v>
      </c>
      <c r="I472" s="1" t="s">
        <v>140</v>
      </c>
      <c r="J472" s="24">
        <v>99.39</v>
      </c>
      <c r="K472" s="24">
        <v>162.93</v>
      </c>
      <c r="L472" s="28">
        <v>63.540000000000013</v>
      </c>
      <c r="M472" s="1">
        <v>17</v>
      </c>
      <c r="N472" s="28">
        <v>2769.81</v>
      </c>
      <c r="O472" s="29">
        <v>0.1</v>
      </c>
      <c r="P472" s="28">
        <v>276.98099999999999</v>
      </c>
      <c r="Q472" s="28">
        <v>2492.8290000000002</v>
      </c>
      <c r="R472" s="1" t="str">
        <f t="shared" si="42"/>
        <v>Aug</v>
      </c>
      <c r="S472" s="28">
        <f t="shared" si="46"/>
        <v>1689.63</v>
      </c>
      <c r="T472" s="28">
        <f t="shared" si="47"/>
        <v>803.19900000000007</v>
      </c>
      <c r="U472" s="11">
        <f t="shared" si="43"/>
        <v>0.32220380940690274</v>
      </c>
      <c r="V472" s="1" t="str">
        <f t="shared" si="44"/>
        <v>Very Slow</v>
      </c>
      <c r="W472" s="1" t="str">
        <f t="shared" si="45"/>
        <v>OK</v>
      </c>
    </row>
    <row r="473" spans="1:23">
      <c r="A473" s="1">
        <v>57091</v>
      </c>
      <c r="B473" s="10">
        <v>45879</v>
      </c>
      <c r="C473" s="1">
        <v>14</v>
      </c>
      <c r="D473" s="1" t="s">
        <v>63</v>
      </c>
      <c r="E473" s="1" t="s">
        <v>67</v>
      </c>
      <c r="F473" s="1" t="s">
        <v>73</v>
      </c>
      <c r="G473" s="1" t="s">
        <v>60</v>
      </c>
      <c r="H473" s="1" t="s">
        <v>68</v>
      </c>
      <c r="I473" s="1" t="s">
        <v>106</v>
      </c>
      <c r="J473" s="24">
        <v>1.53</v>
      </c>
      <c r="K473" s="24">
        <v>2.78</v>
      </c>
      <c r="L473" s="28">
        <v>1.25</v>
      </c>
      <c r="M473" s="1">
        <v>44</v>
      </c>
      <c r="N473" s="28">
        <v>122.32</v>
      </c>
      <c r="O473" s="29">
        <v>0.1</v>
      </c>
      <c r="P473" s="28">
        <v>12.231999999999999</v>
      </c>
      <c r="Q473" s="28">
        <v>110.08799999999999</v>
      </c>
      <c r="R473" s="1" t="str">
        <f t="shared" si="42"/>
        <v>Aug</v>
      </c>
      <c r="S473" s="28">
        <f t="shared" si="46"/>
        <v>67.320000000000007</v>
      </c>
      <c r="T473" s="28">
        <f t="shared" si="47"/>
        <v>42.767999999999986</v>
      </c>
      <c r="U473" s="11">
        <f t="shared" si="43"/>
        <v>0.38848920863309344</v>
      </c>
      <c r="V473" s="1" t="str">
        <f t="shared" si="44"/>
        <v>Slow</v>
      </c>
      <c r="W473" s="1" t="str">
        <f t="shared" si="45"/>
        <v>OK</v>
      </c>
    </row>
    <row r="474" spans="1:23">
      <c r="A474" s="1">
        <v>57092</v>
      </c>
      <c r="B474" s="10">
        <v>45879</v>
      </c>
      <c r="C474" s="1">
        <v>12</v>
      </c>
      <c r="D474" s="1" t="s">
        <v>57</v>
      </c>
      <c r="E474" s="1" t="s">
        <v>72</v>
      </c>
      <c r="F474" s="1" t="s">
        <v>73</v>
      </c>
      <c r="G474" s="1" t="s">
        <v>60</v>
      </c>
      <c r="H474" s="1" t="s">
        <v>68</v>
      </c>
      <c r="I474" s="1" t="s">
        <v>97</v>
      </c>
      <c r="J474" s="24">
        <v>1.6</v>
      </c>
      <c r="K474" s="24">
        <v>2.62</v>
      </c>
      <c r="L474" s="28">
        <v>1.02</v>
      </c>
      <c r="M474" s="1">
        <v>32</v>
      </c>
      <c r="N474" s="28">
        <v>83.84</v>
      </c>
      <c r="O474" s="29">
        <v>0.05</v>
      </c>
      <c r="P474" s="28">
        <v>4.1920000000000002</v>
      </c>
      <c r="Q474" s="28">
        <v>79.647999999999996</v>
      </c>
      <c r="R474" s="1" t="str">
        <f t="shared" si="42"/>
        <v>Aug</v>
      </c>
      <c r="S474" s="28">
        <f t="shared" si="46"/>
        <v>51.2</v>
      </c>
      <c r="T474" s="28">
        <f t="shared" si="47"/>
        <v>28.447999999999993</v>
      </c>
      <c r="U474" s="11">
        <f t="shared" si="43"/>
        <v>0.35717155484130164</v>
      </c>
      <c r="V474" s="1" t="str">
        <f t="shared" si="44"/>
        <v>Slow</v>
      </c>
      <c r="W474" s="1" t="str">
        <f t="shared" si="45"/>
        <v>OK</v>
      </c>
    </row>
    <row r="475" spans="1:23">
      <c r="A475" s="1">
        <v>57093</v>
      </c>
      <c r="B475" s="10">
        <v>45879</v>
      </c>
      <c r="C475" s="1">
        <v>20</v>
      </c>
      <c r="D475" s="1" t="s">
        <v>57</v>
      </c>
      <c r="E475" s="1" t="s">
        <v>72</v>
      </c>
      <c r="F475" s="1" t="s">
        <v>88</v>
      </c>
      <c r="G475" s="1" t="s">
        <v>60</v>
      </c>
      <c r="H475" s="1" t="s">
        <v>90</v>
      </c>
      <c r="I475" s="1" t="s">
        <v>184</v>
      </c>
      <c r="J475" s="24">
        <v>21.56</v>
      </c>
      <c r="K475" s="24">
        <v>36.549999999999997</v>
      </c>
      <c r="L475" s="28">
        <v>14.99</v>
      </c>
      <c r="M475" s="1">
        <v>40</v>
      </c>
      <c r="N475" s="28">
        <v>1462</v>
      </c>
      <c r="O475" s="29">
        <v>0.1</v>
      </c>
      <c r="P475" s="28">
        <v>146.19999999999999</v>
      </c>
      <c r="Q475" s="28">
        <v>1315.8</v>
      </c>
      <c r="R475" s="1" t="str">
        <f t="shared" si="42"/>
        <v>Aug</v>
      </c>
      <c r="S475" s="28">
        <f t="shared" si="46"/>
        <v>862.4</v>
      </c>
      <c r="T475" s="28">
        <f t="shared" si="47"/>
        <v>453.4</v>
      </c>
      <c r="U475" s="11">
        <f t="shared" si="43"/>
        <v>0.34458124335005319</v>
      </c>
      <c r="V475" s="1" t="str">
        <f t="shared" si="44"/>
        <v>Very Slow</v>
      </c>
      <c r="W475" s="1" t="str">
        <f t="shared" si="45"/>
        <v>OK</v>
      </c>
    </row>
    <row r="476" spans="1:23">
      <c r="A476" s="1">
        <v>57094</v>
      </c>
      <c r="B476" s="10">
        <v>45879</v>
      </c>
      <c r="C476" s="1">
        <v>5</v>
      </c>
      <c r="D476" s="1" t="s">
        <v>57</v>
      </c>
      <c r="E476" s="1" t="s">
        <v>67</v>
      </c>
      <c r="F476" s="1" t="s">
        <v>18</v>
      </c>
      <c r="G476" s="1" t="s">
        <v>60</v>
      </c>
      <c r="H476" s="1" t="s">
        <v>68</v>
      </c>
      <c r="I476" s="1" t="s">
        <v>124</v>
      </c>
      <c r="J476" s="24">
        <v>2.25</v>
      </c>
      <c r="K476" s="24">
        <v>3.69</v>
      </c>
      <c r="L476" s="28">
        <v>1.44</v>
      </c>
      <c r="M476" s="1">
        <v>46</v>
      </c>
      <c r="N476" s="28">
        <v>169.74</v>
      </c>
      <c r="O476" s="29">
        <v>0.06</v>
      </c>
      <c r="P476" s="28">
        <v>10.1844</v>
      </c>
      <c r="Q476" s="28">
        <v>159.5556</v>
      </c>
      <c r="R476" s="1" t="str">
        <f t="shared" si="42"/>
        <v>Aug</v>
      </c>
      <c r="S476" s="28">
        <f t="shared" si="46"/>
        <v>103.5</v>
      </c>
      <c r="T476" s="28">
        <f t="shared" si="47"/>
        <v>56.055599999999998</v>
      </c>
      <c r="U476" s="11">
        <f t="shared" si="43"/>
        <v>0.35132330046704724</v>
      </c>
      <c r="V476" s="1" t="str">
        <f t="shared" si="44"/>
        <v>Standard</v>
      </c>
      <c r="W476" s="1" t="str">
        <f t="shared" si="45"/>
        <v>OK</v>
      </c>
    </row>
    <row r="477" spans="1:23">
      <c r="A477" s="1">
        <v>57095</v>
      </c>
      <c r="B477" s="10">
        <v>45881</v>
      </c>
      <c r="C477" s="1">
        <v>19</v>
      </c>
      <c r="D477" s="1" t="s">
        <v>57</v>
      </c>
      <c r="E477" s="1" t="s">
        <v>72</v>
      </c>
      <c r="F477" s="1" t="s">
        <v>108</v>
      </c>
      <c r="G477" s="1" t="s">
        <v>85</v>
      </c>
      <c r="H477" s="1" t="s">
        <v>61</v>
      </c>
      <c r="I477" s="1" t="s">
        <v>170</v>
      </c>
      <c r="J477" s="24">
        <v>56.16</v>
      </c>
      <c r="K477" s="24">
        <v>136.97999999999999</v>
      </c>
      <c r="L477" s="28">
        <v>80.819999999999993</v>
      </c>
      <c r="M477" s="1">
        <v>15</v>
      </c>
      <c r="N477" s="28">
        <v>2054.6999999999998</v>
      </c>
      <c r="O477" s="29">
        <v>0</v>
      </c>
      <c r="P477" s="28">
        <v>0</v>
      </c>
      <c r="Q477" s="28">
        <v>2054.6999999999998</v>
      </c>
      <c r="R477" s="1" t="str">
        <f t="shared" si="42"/>
        <v>Aug</v>
      </c>
      <c r="S477" s="28">
        <f t="shared" si="46"/>
        <v>842.4</v>
      </c>
      <c r="T477" s="28">
        <f t="shared" si="47"/>
        <v>1212.2999999999997</v>
      </c>
      <c r="U477" s="11">
        <f t="shared" si="43"/>
        <v>0.59001314060446775</v>
      </c>
      <c r="V477" s="1" t="str">
        <f t="shared" si="44"/>
        <v>Very Slow</v>
      </c>
      <c r="W477" s="1" t="str">
        <f t="shared" si="45"/>
        <v>OK</v>
      </c>
    </row>
    <row r="478" spans="1:23">
      <c r="A478" s="1">
        <v>57096</v>
      </c>
      <c r="B478" s="10">
        <v>45881</v>
      </c>
      <c r="C478" s="1">
        <v>18</v>
      </c>
      <c r="D478" s="1" t="s">
        <v>57</v>
      </c>
      <c r="E478" s="1" t="s">
        <v>87</v>
      </c>
      <c r="F478" s="1" t="s">
        <v>108</v>
      </c>
      <c r="G478" s="1" t="s">
        <v>60</v>
      </c>
      <c r="H478" s="1" t="s">
        <v>68</v>
      </c>
      <c r="I478" s="1" t="s">
        <v>146</v>
      </c>
      <c r="J478" s="24">
        <v>3.14</v>
      </c>
      <c r="K478" s="24">
        <v>4.91</v>
      </c>
      <c r="L478" s="28">
        <v>1.77</v>
      </c>
      <c r="M478" s="1">
        <v>23</v>
      </c>
      <c r="N478" s="28">
        <v>112.93</v>
      </c>
      <c r="O478" s="29">
        <v>0.01</v>
      </c>
      <c r="P478" s="28">
        <v>1.1293</v>
      </c>
      <c r="Q478" s="28">
        <v>111.80070000000001</v>
      </c>
      <c r="R478" s="1" t="str">
        <f t="shared" si="42"/>
        <v>Aug</v>
      </c>
      <c r="S478" s="28">
        <f t="shared" si="46"/>
        <v>72.22</v>
      </c>
      <c r="T478" s="28">
        <f t="shared" si="47"/>
        <v>39.580700000000007</v>
      </c>
      <c r="U478" s="11">
        <f t="shared" si="43"/>
        <v>0.35402908926330517</v>
      </c>
      <c r="V478" s="1" t="str">
        <f t="shared" si="44"/>
        <v>Very Slow</v>
      </c>
      <c r="W478" s="1" t="str">
        <f t="shared" si="45"/>
        <v>OK</v>
      </c>
    </row>
    <row r="479" spans="1:23">
      <c r="A479" s="1">
        <v>57097</v>
      </c>
      <c r="B479" s="10">
        <v>45882</v>
      </c>
      <c r="C479" s="1">
        <v>8</v>
      </c>
      <c r="D479" s="1" t="s">
        <v>57</v>
      </c>
      <c r="E479" s="1" t="s">
        <v>67</v>
      </c>
      <c r="F479" s="1" t="s">
        <v>75</v>
      </c>
      <c r="G479" s="1" t="s">
        <v>60</v>
      </c>
      <c r="H479" s="1" t="s">
        <v>68</v>
      </c>
      <c r="I479" s="1" t="s">
        <v>121</v>
      </c>
      <c r="J479" s="24">
        <v>1.84</v>
      </c>
      <c r="K479" s="24">
        <v>2.88</v>
      </c>
      <c r="L479" s="28">
        <v>1.04</v>
      </c>
      <c r="M479" s="1">
        <v>7</v>
      </c>
      <c r="N479" s="28">
        <v>20.16</v>
      </c>
      <c r="O479" s="29">
        <v>7.0000000000000007E-2</v>
      </c>
      <c r="P479" s="28">
        <v>1.4112</v>
      </c>
      <c r="Q479" s="28">
        <v>18.748799999999999</v>
      </c>
      <c r="R479" s="1" t="str">
        <f t="shared" si="42"/>
        <v>Aug</v>
      </c>
      <c r="S479" s="28">
        <f t="shared" si="46"/>
        <v>12.88</v>
      </c>
      <c r="T479" s="28">
        <f t="shared" si="47"/>
        <v>5.8687999999999985</v>
      </c>
      <c r="U479" s="11">
        <f t="shared" si="43"/>
        <v>0.31302270011947425</v>
      </c>
      <c r="V479" s="1" t="str">
        <f t="shared" si="44"/>
        <v>Slow</v>
      </c>
      <c r="W479" s="1" t="str">
        <f t="shared" si="45"/>
        <v>OK</v>
      </c>
    </row>
    <row r="480" spans="1:23">
      <c r="A480" s="1">
        <v>57098</v>
      </c>
      <c r="B480" s="10">
        <v>45883</v>
      </c>
      <c r="C480" s="1">
        <v>23</v>
      </c>
      <c r="D480" s="1" t="s">
        <v>57</v>
      </c>
      <c r="E480" s="1" t="s">
        <v>58</v>
      </c>
      <c r="F480" s="1" t="s">
        <v>100</v>
      </c>
      <c r="G480" s="1" t="s">
        <v>60</v>
      </c>
      <c r="H480" s="1" t="s">
        <v>68</v>
      </c>
      <c r="I480" s="1" t="s">
        <v>126</v>
      </c>
      <c r="J480" s="24">
        <v>1.0900000000000001</v>
      </c>
      <c r="K480" s="24">
        <v>2.6</v>
      </c>
      <c r="L480" s="28">
        <v>1.51</v>
      </c>
      <c r="M480" s="1">
        <v>28</v>
      </c>
      <c r="N480" s="28">
        <v>72.8</v>
      </c>
      <c r="O480" s="29">
        <v>0.08</v>
      </c>
      <c r="P480" s="28">
        <v>5.8239999999999998</v>
      </c>
      <c r="Q480" s="28">
        <v>66.975999999999999</v>
      </c>
      <c r="R480" s="1" t="str">
        <f t="shared" si="42"/>
        <v>Aug</v>
      </c>
      <c r="S480" s="28">
        <f t="shared" si="46"/>
        <v>30.520000000000003</v>
      </c>
      <c r="T480" s="28">
        <f t="shared" si="47"/>
        <v>36.455999999999996</v>
      </c>
      <c r="U480" s="11">
        <f t="shared" si="43"/>
        <v>0.54431438127090293</v>
      </c>
      <c r="V480" s="1" t="str">
        <f t="shared" si="44"/>
        <v>Very Slow</v>
      </c>
      <c r="W480" s="1" t="str">
        <f t="shared" si="45"/>
        <v>OK</v>
      </c>
    </row>
    <row r="481" spans="1:23">
      <c r="A481" s="1">
        <v>57099</v>
      </c>
      <c r="B481" s="10">
        <v>45883</v>
      </c>
      <c r="C481" s="1">
        <v>18</v>
      </c>
      <c r="D481" s="1" t="s">
        <v>57</v>
      </c>
      <c r="E481" s="1" t="s">
        <v>87</v>
      </c>
      <c r="F481" s="1" t="s">
        <v>100</v>
      </c>
      <c r="G481" s="1" t="s">
        <v>81</v>
      </c>
      <c r="H481" s="1" t="s">
        <v>68</v>
      </c>
      <c r="I481" s="1" t="s">
        <v>143</v>
      </c>
      <c r="J481" s="24">
        <v>42.11</v>
      </c>
      <c r="K481" s="24">
        <v>80.98</v>
      </c>
      <c r="L481" s="28">
        <v>38.869999999999997</v>
      </c>
      <c r="M481" s="1">
        <v>30</v>
      </c>
      <c r="N481" s="28">
        <v>2429.4</v>
      </c>
      <c r="O481" s="29">
        <v>0.02</v>
      </c>
      <c r="P481" s="28">
        <v>48.588000000000001</v>
      </c>
      <c r="Q481" s="28">
        <v>2380.8119999999999</v>
      </c>
      <c r="R481" s="1" t="str">
        <f t="shared" si="42"/>
        <v>Aug</v>
      </c>
      <c r="S481" s="28">
        <f t="shared" si="46"/>
        <v>1263.3</v>
      </c>
      <c r="T481" s="28">
        <f t="shared" si="47"/>
        <v>1117.5119999999999</v>
      </c>
      <c r="U481" s="11">
        <f t="shared" si="43"/>
        <v>0.46938271480486488</v>
      </c>
      <c r="V481" s="1" t="str">
        <f t="shared" si="44"/>
        <v>Very Slow</v>
      </c>
      <c r="W481" s="1" t="str">
        <f t="shared" si="45"/>
        <v>OK</v>
      </c>
    </row>
    <row r="482" spans="1:23">
      <c r="A482" s="1">
        <v>57100</v>
      </c>
      <c r="B482" s="10">
        <v>45883</v>
      </c>
      <c r="C482" s="1">
        <v>14</v>
      </c>
      <c r="D482" s="1" t="s">
        <v>57</v>
      </c>
      <c r="E482" s="1" t="s">
        <v>58</v>
      </c>
      <c r="F482" s="1" t="s">
        <v>73</v>
      </c>
      <c r="G482" s="1" t="s">
        <v>60</v>
      </c>
      <c r="H482" s="1" t="s">
        <v>90</v>
      </c>
      <c r="I482" s="1" t="s">
        <v>123</v>
      </c>
      <c r="J482" s="24">
        <v>1.18</v>
      </c>
      <c r="K482" s="24">
        <v>1.88</v>
      </c>
      <c r="L482" s="28">
        <v>0.7</v>
      </c>
      <c r="M482" s="1">
        <v>6</v>
      </c>
      <c r="N482" s="28">
        <v>11.28</v>
      </c>
      <c r="O482" s="29">
        <v>0.08</v>
      </c>
      <c r="P482" s="28">
        <v>0.90239999999999998</v>
      </c>
      <c r="Q482" s="28">
        <v>10.377599999999999</v>
      </c>
      <c r="R482" s="1" t="str">
        <f t="shared" si="42"/>
        <v>Aug</v>
      </c>
      <c r="S482" s="28">
        <f t="shared" si="46"/>
        <v>7.08</v>
      </c>
      <c r="T482" s="28">
        <f t="shared" si="47"/>
        <v>3.2975999999999992</v>
      </c>
      <c r="U482" s="11">
        <f t="shared" si="43"/>
        <v>0.31776133209990742</v>
      </c>
      <c r="V482" s="1" t="str">
        <f t="shared" si="44"/>
        <v>Slow</v>
      </c>
      <c r="W482" s="1" t="str">
        <f t="shared" si="45"/>
        <v>OK</v>
      </c>
    </row>
    <row r="483" spans="1:23">
      <c r="A483" s="1">
        <v>57101</v>
      </c>
      <c r="B483" s="10">
        <v>45884</v>
      </c>
      <c r="C483" s="1">
        <v>7</v>
      </c>
      <c r="D483" s="1" t="s">
        <v>57</v>
      </c>
      <c r="E483" s="1" t="s">
        <v>72</v>
      </c>
      <c r="F483" s="1" t="s">
        <v>73</v>
      </c>
      <c r="G483" s="1" t="s">
        <v>60</v>
      </c>
      <c r="H483" s="1" t="s">
        <v>61</v>
      </c>
      <c r="I483" s="1" t="s">
        <v>171</v>
      </c>
      <c r="J483" s="24">
        <v>2.9</v>
      </c>
      <c r="K483" s="24">
        <v>4.76</v>
      </c>
      <c r="L483" s="28">
        <v>1.86</v>
      </c>
      <c r="M483" s="1">
        <v>6</v>
      </c>
      <c r="N483" s="28">
        <v>28.56</v>
      </c>
      <c r="O483" s="29">
        <v>0.09</v>
      </c>
      <c r="P483" s="28">
        <v>2.5703999999999998</v>
      </c>
      <c r="Q483" s="28">
        <v>25.989599999999999</v>
      </c>
      <c r="R483" s="1" t="str">
        <f t="shared" si="42"/>
        <v>Aug</v>
      </c>
      <c r="S483" s="28">
        <f t="shared" si="46"/>
        <v>17.399999999999999</v>
      </c>
      <c r="T483" s="28">
        <f t="shared" si="47"/>
        <v>8.5896000000000008</v>
      </c>
      <c r="U483" s="11">
        <f t="shared" si="43"/>
        <v>0.33050143134176752</v>
      </c>
      <c r="V483" s="1" t="str">
        <f t="shared" si="44"/>
        <v>Standard</v>
      </c>
      <c r="W483" s="1" t="str">
        <f t="shared" si="45"/>
        <v>OK</v>
      </c>
    </row>
    <row r="484" spans="1:23">
      <c r="A484" s="1">
        <v>57102</v>
      </c>
      <c r="B484" s="10">
        <v>45884</v>
      </c>
      <c r="C484" s="1">
        <v>5</v>
      </c>
      <c r="D484" s="1" t="s">
        <v>57</v>
      </c>
      <c r="E484" s="1" t="s">
        <v>67</v>
      </c>
      <c r="F484" s="1" t="s">
        <v>98</v>
      </c>
      <c r="G484" s="1" t="s">
        <v>60</v>
      </c>
      <c r="H484" s="1" t="s">
        <v>61</v>
      </c>
      <c r="I484" s="1" t="s">
        <v>120</v>
      </c>
      <c r="J484" s="24">
        <v>16.8</v>
      </c>
      <c r="K484" s="24">
        <v>40.97</v>
      </c>
      <c r="L484" s="28">
        <v>24.17</v>
      </c>
      <c r="M484" s="1">
        <v>53</v>
      </c>
      <c r="N484" s="28">
        <v>2171.41</v>
      </c>
      <c r="O484" s="29">
        <v>0.06</v>
      </c>
      <c r="P484" s="28">
        <v>130.28460000000001</v>
      </c>
      <c r="Q484" s="28">
        <v>2041.1253999999999</v>
      </c>
      <c r="R484" s="1" t="str">
        <f t="shared" si="42"/>
        <v>Aug</v>
      </c>
      <c r="S484" s="28">
        <f t="shared" si="46"/>
        <v>890.40000000000009</v>
      </c>
      <c r="T484" s="28">
        <f t="shared" si="47"/>
        <v>1150.7253999999998</v>
      </c>
      <c r="U484" s="11">
        <f t="shared" si="43"/>
        <v>0.56377006527869378</v>
      </c>
      <c r="V484" s="1" t="str">
        <f t="shared" si="44"/>
        <v>Standard</v>
      </c>
      <c r="W484" s="1" t="str">
        <f t="shared" si="45"/>
        <v>OK</v>
      </c>
    </row>
    <row r="485" spans="1:23">
      <c r="A485" s="1">
        <v>57103</v>
      </c>
      <c r="B485" s="10">
        <v>45885</v>
      </c>
      <c r="C485" s="1">
        <v>17</v>
      </c>
      <c r="D485" s="1" t="s">
        <v>57</v>
      </c>
      <c r="E485" s="1" t="s">
        <v>67</v>
      </c>
      <c r="F485" s="1" t="s">
        <v>59</v>
      </c>
      <c r="G485" s="1" t="s">
        <v>60</v>
      </c>
      <c r="H485" s="1" t="s">
        <v>68</v>
      </c>
      <c r="I485" s="1" t="s">
        <v>133</v>
      </c>
      <c r="J485" s="24">
        <v>3.65</v>
      </c>
      <c r="K485" s="24">
        <v>5.98</v>
      </c>
      <c r="L485" s="28">
        <v>2.330000000000001</v>
      </c>
      <c r="M485" s="1">
        <v>58</v>
      </c>
      <c r="N485" s="28">
        <v>346.84</v>
      </c>
      <c r="O485" s="29">
        <v>0.02</v>
      </c>
      <c r="P485" s="28">
        <v>6.9368000000000007</v>
      </c>
      <c r="Q485" s="28">
        <v>339.90320000000003</v>
      </c>
      <c r="R485" s="1" t="str">
        <f t="shared" si="42"/>
        <v>Aug</v>
      </c>
      <c r="S485" s="28">
        <f t="shared" si="46"/>
        <v>211.7</v>
      </c>
      <c r="T485" s="28">
        <f t="shared" si="47"/>
        <v>128.20320000000004</v>
      </c>
      <c r="U485" s="11">
        <f t="shared" si="43"/>
        <v>0.37717561941164435</v>
      </c>
      <c r="V485" s="1" t="str">
        <f t="shared" si="44"/>
        <v>Very Slow</v>
      </c>
      <c r="W485" s="1" t="str">
        <f t="shared" si="45"/>
        <v>OK</v>
      </c>
    </row>
    <row r="486" spans="1:23">
      <c r="A486" s="1">
        <v>57104</v>
      </c>
      <c r="B486" s="10">
        <v>45885</v>
      </c>
      <c r="C486" s="1">
        <v>15</v>
      </c>
      <c r="D486" s="1" t="s">
        <v>78</v>
      </c>
      <c r="E486" s="1" t="s">
        <v>87</v>
      </c>
      <c r="F486" s="1" t="s">
        <v>59</v>
      </c>
      <c r="G486" s="1" t="s">
        <v>60</v>
      </c>
      <c r="H486" s="1" t="s">
        <v>90</v>
      </c>
      <c r="I486" s="1" t="s">
        <v>106</v>
      </c>
      <c r="J486" s="24">
        <v>1.53</v>
      </c>
      <c r="K486" s="24">
        <v>2.78</v>
      </c>
      <c r="L486" s="28">
        <v>1.25</v>
      </c>
      <c r="M486" s="1">
        <v>41</v>
      </c>
      <c r="N486" s="28">
        <v>113.98</v>
      </c>
      <c r="O486" s="29">
        <v>7.0000000000000007E-2</v>
      </c>
      <c r="P486" s="28">
        <v>7.9786000000000001</v>
      </c>
      <c r="Q486" s="28">
        <v>106.0014</v>
      </c>
      <c r="R486" s="1" t="str">
        <f t="shared" si="42"/>
        <v>Aug</v>
      </c>
      <c r="S486" s="28">
        <f t="shared" si="46"/>
        <v>62.730000000000004</v>
      </c>
      <c r="T486" s="28">
        <f t="shared" si="47"/>
        <v>43.2714</v>
      </c>
      <c r="U486" s="11">
        <f t="shared" si="43"/>
        <v>0.40821536319331631</v>
      </c>
      <c r="V486" s="1" t="str">
        <f t="shared" si="44"/>
        <v>Very Slow</v>
      </c>
      <c r="W486" s="1" t="str">
        <f t="shared" si="45"/>
        <v>OK</v>
      </c>
    </row>
    <row r="487" spans="1:23">
      <c r="A487" s="1">
        <v>57105</v>
      </c>
      <c r="B487" s="10">
        <v>45885</v>
      </c>
      <c r="C487" s="1">
        <v>7</v>
      </c>
      <c r="D487" s="1" t="s">
        <v>57</v>
      </c>
      <c r="E487" s="1" t="s">
        <v>67</v>
      </c>
      <c r="F487" s="1" t="s">
        <v>96</v>
      </c>
      <c r="G487" s="1" t="s">
        <v>60</v>
      </c>
      <c r="H487" s="1" t="s">
        <v>61</v>
      </c>
      <c r="I487" s="1" t="s">
        <v>141</v>
      </c>
      <c r="J487" s="24">
        <v>2.1800000000000002</v>
      </c>
      <c r="K487" s="24">
        <v>3.52</v>
      </c>
      <c r="L487" s="28">
        <v>1.34</v>
      </c>
      <c r="M487" s="1">
        <v>1</v>
      </c>
      <c r="N487" s="28">
        <v>3.52</v>
      </c>
      <c r="O487" s="29">
        <v>0.04</v>
      </c>
      <c r="P487" s="28">
        <v>0.14080000000000001</v>
      </c>
      <c r="Q487" s="28">
        <v>3.3792</v>
      </c>
      <c r="R487" s="1" t="str">
        <f t="shared" si="42"/>
        <v>Aug</v>
      </c>
      <c r="S487" s="28">
        <f t="shared" si="46"/>
        <v>2.1800000000000002</v>
      </c>
      <c r="T487" s="28">
        <f t="shared" si="47"/>
        <v>1.1991999999999998</v>
      </c>
      <c r="U487" s="11">
        <f t="shared" si="43"/>
        <v>0.35487689393939387</v>
      </c>
      <c r="V487" s="1" t="str">
        <f t="shared" si="44"/>
        <v>Standard</v>
      </c>
      <c r="W487" s="1" t="str">
        <f t="shared" si="45"/>
        <v>OK</v>
      </c>
    </row>
    <row r="488" spans="1:23">
      <c r="A488" s="1">
        <v>57106</v>
      </c>
      <c r="B488" s="10">
        <v>45886</v>
      </c>
      <c r="C488" s="1">
        <v>14</v>
      </c>
      <c r="D488" s="1" t="s">
        <v>78</v>
      </c>
      <c r="E488" s="1" t="s">
        <v>58</v>
      </c>
      <c r="F488" s="1" t="s">
        <v>18</v>
      </c>
      <c r="G488" s="1" t="s">
        <v>60</v>
      </c>
      <c r="H488" s="1" t="s">
        <v>68</v>
      </c>
      <c r="I488" s="1" t="s">
        <v>94</v>
      </c>
      <c r="J488" s="24">
        <v>2.4500000000000002</v>
      </c>
      <c r="K488" s="24">
        <v>3.89</v>
      </c>
      <c r="L488" s="28">
        <v>1.44</v>
      </c>
      <c r="M488" s="1">
        <v>39</v>
      </c>
      <c r="N488" s="28">
        <v>151.71</v>
      </c>
      <c r="O488" s="29">
        <v>0.1</v>
      </c>
      <c r="P488" s="28">
        <v>15.170999999999999</v>
      </c>
      <c r="Q488" s="28">
        <v>136.53899999999999</v>
      </c>
      <c r="R488" s="1" t="str">
        <f t="shared" si="42"/>
        <v>Aug</v>
      </c>
      <c r="S488" s="28">
        <f t="shared" si="46"/>
        <v>95.550000000000011</v>
      </c>
      <c r="T488" s="28">
        <f t="shared" si="47"/>
        <v>40.988999999999976</v>
      </c>
      <c r="U488" s="11">
        <f t="shared" si="43"/>
        <v>0.30019994287346458</v>
      </c>
      <c r="V488" s="1" t="str">
        <f t="shared" si="44"/>
        <v>Slow</v>
      </c>
      <c r="W488" s="1" t="str">
        <f t="shared" si="45"/>
        <v>OK</v>
      </c>
    </row>
    <row r="489" spans="1:23">
      <c r="A489" s="1">
        <v>57107</v>
      </c>
      <c r="B489" s="10">
        <v>45886</v>
      </c>
      <c r="C489" s="1">
        <v>23</v>
      </c>
      <c r="D489" s="1" t="s">
        <v>57</v>
      </c>
      <c r="E489" s="1" t="s">
        <v>72</v>
      </c>
      <c r="F489" s="1" t="s">
        <v>79</v>
      </c>
      <c r="G489" s="1" t="s">
        <v>60</v>
      </c>
      <c r="H489" s="1" t="s">
        <v>68</v>
      </c>
      <c r="I489" s="1" t="s">
        <v>194</v>
      </c>
      <c r="J489" s="24">
        <v>1.84</v>
      </c>
      <c r="K489" s="24">
        <v>2.88</v>
      </c>
      <c r="L489" s="28">
        <v>1.04</v>
      </c>
      <c r="M489" s="1">
        <v>30</v>
      </c>
      <c r="N489" s="28">
        <v>86.399999999999991</v>
      </c>
      <c r="O489" s="29">
        <v>0.04</v>
      </c>
      <c r="P489" s="28">
        <v>3.456</v>
      </c>
      <c r="Q489" s="28">
        <v>82.943999999999988</v>
      </c>
      <c r="R489" s="1" t="str">
        <f t="shared" si="42"/>
        <v>Aug</v>
      </c>
      <c r="S489" s="28">
        <f t="shared" si="46"/>
        <v>55.2</v>
      </c>
      <c r="T489" s="28">
        <f t="shared" si="47"/>
        <v>27.743999999999986</v>
      </c>
      <c r="U489" s="11">
        <f t="shared" si="43"/>
        <v>0.33449074074074059</v>
      </c>
      <c r="V489" s="1" t="str">
        <f t="shared" si="44"/>
        <v>Very Slow</v>
      </c>
      <c r="W489" s="1" t="str">
        <f t="shared" si="45"/>
        <v>OK</v>
      </c>
    </row>
    <row r="490" spans="1:23">
      <c r="A490" s="1">
        <v>57108</v>
      </c>
      <c r="B490" s="10">
        <v>45886</v>
      </c>
      <c r="C490" s="1">
        <v>19</v>
      </c>
      <c r="D490" s="1" t="s">
        <v>57</v>
      </c>
      <c r="E490" s="1" t="s">
        <v>67</v>
      </c>
      <c r="F490" s="1" t="s">
        <v>100</v>
      </c>
      <c r="G490" s="1" t="s">
        <v>81</v>
      </c>
      <c r="H490" s="1" t="s">
        <v>61</v>
      </c>
      <c r="I490" s="1" t="s">
        <v>212</v>
      </c>
      <c r="J490" s="24">
        <v>6.51</v>
      </c>
      <c r="K490" s="24">
        <v>30.98</v>
      </c>
      <c r="L490" s="28">
        <v>24.47</v>
      </c>
      <c r="M490" s="1">
        <v>7</v>
      </c>
      <c r="N490" s="28">
        <v>216.86</v>
      </c>
      <c r="O490" s="29">
        <v>0.01</v>
      </c>
      <c r="P490" s="28">
        <v>2.1686000000000001</v>
      </c>
      <c r="Q490" s="28">
        <v>214.69139999999999</v>
      </c>
      <c r="R490" s="1" t="str">
        <f t="shared" si="42"/>
        <v>Aug</v>
      </c>
      <c r="S490" s="28">
        <f t="shared" si="46"/>
        <v>45.57</v>
      </c>
      <c r="T490" s="28">
        <f t="shared" si="47"/>
        <v>169.12139999999999</v>
      </c>
      <c r="U490" s="11">
        <f t="shared" si="43"/>
        <v>0.78774184713500406</v>
      </c>
      <c r="V490" s="1" t="str">
        <f t="shared" si="44"/>
        <v>Very Slow</v>
      </c>
      <c r="W490" s="1" t="str">
        <f t="shared" si="45"/>
        <v>OK</v>
      </c>
    </row>
    <row r="491" spans="1:23">
      <c r="A491" s="1">
        <v>57109</v>
      </c>
      <c r="B491" s="10">
        <v>45886</v>
      </c>
      <c r="C491" s="1">
        <v>3</v>
      </c>
      <c r="D491" s="1" t="s">
        <v>57</v>
      </c>
      <c r="E491" s="1" t="s">
        <v>87</v>
      </c>
      <c r="F491" s="1" t="s">
        <v>64</v>
      </c>
      <c r="G491" s="1" t="s">
        <v>60</v>
      </c>
      <c r="H491" s="1" t="s">
        <v>90</v>
      </c>
      <c r="I491" s="1" t="s">
        <v>208</v>
      </c>
      <c r="J491" s="24">
        <v>1.46</v>
      </c>
      <c r="K491" s="24">
        <v>3.57</v>
      </c>
      <c r="L491" s="28">
        <v>2.11</v>
      </c>
      <c r="M491" s="1">
        <v>42</v>
      </c>
      <c r="N491" s="28">
        <v>149.94</v>
      </c>
      <c r="O491" s="29">
        <v>0.01</v>
      </c>
      <c r="P491" s="28">
        <v>1.4994000000000001</v>
      </c>
      <c r="Q491" s="28">
        <v>148.44059999999999</v>
      </c>
      <c r="R491" s="1" t="str">
        <f t="shared" si="42"/>
        <v>Aug</v>
      </c>
      <c r="S491" s="28">
        <f t="shared" si="46"/>
        <v>61.32</v>
      </c>
      <c r="T491" s="28">
        <f t="shared" si="47"/>
        <v>87.120599999999996</v>
      </c>
      <c r="U491" s="11">
        <f t="shared" si="43"/>
        <v>0.58690546925841047</v>
      </c>
      <c r="V491" s="1" t="str">
        <f t="shared" si="44"/>
        <v>Fast</v>
      </c>
      <c r="W491" s="1" t="str">
        <f t="shared" si="45"/>
        <v>OK</v>
      </c>
    </row>
    <row r="492" spans="1:23">
      <c r="A492" s="1">
        <v>57110</v>
      </c>
      <c r="B492" s="10">
        <v>45887</v>
      </c>
      <c r="C492" s="1">
        <v>9</v>
      </c>
      <c r="D492" s="1" t="s">
        <v>57</v>
      </c>
      <c r="E492" s="1" t="s">
        <v>87</v>
      </c>
      <c r="F492" s="1" t="s">
        <v>100</v>
      </c>
      <c r="G492" s="1" t="s">
        <v>60</v>
      </c>
      <c r="H492" s="1" t="s">
        <v>70</v>
      </c>
      <c r="I492" s="1" t="s">
        <v>121</v>
      </c>
      <c r="J492" s="24">
        <v>1.84</v>
      </c>
      <c r="K492" s="24">
        <v>2.88</v>
      </c>
      <c r="L492" s="28">
        <v>1.04</v>
      </c>
      <c r="M492" s="1">
        <v>44</v>
      </c>
      <c r="N492" s="28">
        <v>126.72</v>
      </c>
      <c r="O492" s="29">
        <v>0.01</v>
      </c>
      <c r="P492" s="28">
        <v>1.2672000000000001</v>
      </c>
      <c r="Q492" s="28">
        <v>125.4528</v>
      </c>
      <c r="R492" s="1" t="str">
        <f t="shared" si="42"/>
        <v>Aug</v>
      </c>
      <c r="S492" s="28">
        <f t="shared" si="46"/>
        <v>80.960000000000008</v>
      </c>
      <c r="T492" s="28">
        <f t="shared" si="47"/>
        <v>44.492799999999988</v>
      </c>
      <c r="U492" s="11">
        <f t="shared" si="43"/>
        <v>0.35465768799102126</v>
      </c>
      <c r="V492" s="1" t="str">
        <f t="shared" si="44"/>
        <v>Slow</v>
      </c>
      <c r="W492" s="1" t="str">
        <f t="shared" si="45"/>
        <v>OK</v>
      </c>
    </row>
    <row r="493" spans="1:23">
      <c r="A493" s="1">
        <v>57111</v>
      </c>
      <c r="B493" s="10">
        <v>45888</v>
      </c>
      <c r="C493" s="1">
        <v>14</v>
      </c>
      <c r="D493" s="1" t="s">
        <v>57</v>
      </c>
      <c r="E493" s="1" t="s">
        <v>58</v>
      </c>
      <c r="F493" s="1" t="s">
        <v>18</v>
      </c>
      <c r="G493" s="1" t="s">
        <v>60</v>
      </c>
      <c r="H493" s="1" t="s">
        <v>65</v>
      </c>
      <c r="I493" s="1" t="s">
        <v>146</v>
      </c>
      <c r="J493" s="24">
        <v>3.14</v>
      </c>
      <c r="K493" s="24">
        <v>4.91</v>
      </c>
      <c r="L493" s="28">
        <v>1.77</v>
      </c>
      <c r="M493" s="1">
        <v>28</v>
      </c>
      <c r="N493" s="28">
        <v>137.47999999999999</v>
      </c>
      <c r="O493" s="29">
        <v>0.08</v>
      </c>
      <c r="P493" s="28">
        <v>10.9984</v>
      </c>
      <c r="Q493" s="28">
        <v>126.4816</v>
      </c>
      <c r="R493" s="1" t="str">
        <f t="shared" si="42"/>
        <v>Aug</v>
      </c>
      <c r="S493" s="28">
        <f t="shared" si="46"/>
        <v>87.92</v>
      </c>
      <c r="T493" s="28">
        <f t="shared" si="47"/>
        <v>38.561599999999999</v>
      </c>
      <c r="U493" s="11">
        <f t="shared" si="43"/>
        <v>0.30487912866377398</v>
      </c>
      <c r="V493" s="1" t="str">
        <f t="shared" si="44"/>
        <v>Slow</v>
      </c>
      <c r="W493" s="1" t="str">
        <f t="shared" si="45"/>
        <v>OK</v>
      </c>
    </row>
    <row r="494" spans="1:23">
      <c r="A494" s="1">
        <v>57112</v>
      </c>
      <c r="B494" s="10">
        <v>45888</v>
      </c>
      <c r="C494" s="1">
        <v>9</v>
      </c>
      <c r="D494" s="1" t="s">
        <v>57</v>
      </c>
      <c r="E494" s="1" t="s">
        <v>72</v>
      </c>
      <c r="F494" s="1" t="s">
        <v>100</v>
      </c>
      <c r="G494" s="1" t="s">
        <v>60</v>
      </c>
      <c r="H494" s="1" t="s">
        <v>61</v>
      </c>
      <c r="I494" s="1" t="s">
        <v>157</v>
      </c>
      <c r="J494" s="24">
        <v>4.53</v>
      </c>
      <c r="K494" s="24">
        <v>7.3</v>
      </c>
      <c r="L494" s="28">
        <v>2.77</v>
      </c>
      <c r="M494" s="1">
        <v>44</v>
      </c>
      <c r="N494" s="28">
        <v>321.2</v>
      </c>
      <c r="O494" s="29">
        <v>0.02</v>
      </c>
      <c r="P494" s="28">
        <v>6.4239999999999986</v>
      </c>
      <c r="Q494" s="28">
        <v>314.77600000000001</v>
      </c>
      <c r="R494" s="1" t="str">
        <f t="shared" si="42"/>
        <v>Aug</v>
      </c>
      <c r="S494" s="28">
        <f t="shared" si="46"/>
        <v>199.32000000000002</v>
      </c>
      <c r="T494" s="28">
        <f t="shared" si="47"/>
        <v>115.45599999999999</v>
      </c>
      <c r="U494" s="11">
        <f t="shared" si="43"/>
        <v>0.36678781101481683</v>
      </c>
      <c r="V494" s="1" t="str">
        <f t="shared" si="44"/>
        <v>Slow</v>
      </c>
      <c r="W494" s="1" t="str">
        <f t="shared" si="45"/>
        <v>OK</v>
      </c>
    </row>
    <row r="495" spans="1:23">
      <c r="A495" s="1">
        <v>57113</v>
      </c>
      <c r="B495" s="10">
        <v>45888</v>
      </c>
      <c r="C495" s="1">
        <v>1</v>
      </c>
      <c r="D495" s="1" t="s">
        <v>57</v>
      </c>
      <c r="E495" s="1" t="s">
        <v>67</v>
      </c>
      <c r="F495" s="1" t="s">
        <v>100</v>
      </c>
      <c r="G495" s="1" t="s">
        <v>60</v>
      </c>
      <c r="H495" s="1" t="s">
        <v>61</v>
      </c>
      <c r="I495" s="1" t="s">
        <v>222</v>
      </c>
      <c r="J495" s="24">
        <v>1.53</v>
      </c>
      <c r="K495" s="24">
        <v>2.4700000000000002</v>
      </c>
      <c r="L495" s="28">
        <v>0.94000000000000017</v>
      </c>
      <c r="M495" s="1">
        <v>47</v>
      </c>
      <c r="N495" s="28">
        <v>116.09</v>
      </c>
      <c r="O495" s="29">
        <v>0.02</v>
      </c>
      <c r="P495" s="28">
        <v>2.3218000000000001</v>
      </c>
      <c r="Q495" s="28">
        <v>113.76819999999999</v>
      </c>
      <c r="R495" s="1" t="str">
        <f t="shared" si="42"/>
        <v>Aug</v>
      </c>
      <c r="S495" s="28">
        <f t="shared" si="46"/>
        <v>71.91</v>
      </c>
      <c r="T495" s="28">
        <f t="shared" si="47"/>
        <v>41.858199999999997</v>
      </c>
      <c r="U495" s="11">
        <f t="shared" si="43"/>
        <v>0.36792530777493182</v>
      </c>
      <c r="V495" s="1" t="str">
        <f t="shared" si="44"/>
        <v>Fast</v>
      </c>
      <c r="W495" s="1" t="str">
        <f t="shared" si="45"/>
        <v>OK</v>
      </c>
    </row>
    <row r="496" spans="1:23">
      <c r="A496" s="1">
        <v>57114</v>
      </c>
      <c r="B496" s="10">
        <v>45888</v>
      </c>
      <c r="C496" s="1">
        <v>5</v>
      </c>
      <c r="D496" s="1" t="s">
        <v>57</v>
      </c>
      <c r="E496" s="1" t="s">
        <v>67</v>
      </c>
      <c r="F496" s="1" t="s">
        <v>75</v>
      </c>
      <c r="G496" s="1" t="s">
        <v>60</v>
      </c>
      <c r="H496" s="1" t="s">
        <v>68</v>
      </c>
      <c r="I496" s="1" t="s">
        <v>152</v>
      </c>
      <c r="J496" s="24">
        <v>1.59</v>
      </c>
      <c r="K496" s="24">
        <v>2.61</v>
      </c>
      <c r="L496" s="28">
        <v>1.02</v>
      </c>
      <c r="M496" s="1">
        <v>36</v>
      </c>
      <c r="N496" s="28">
        <v>93.96</v>
      </c>
      <c r="O496" s="29">
        <v>0.09</v>
      </c>
      <c r="P496" s="28">
        <v>8.4563999999999986</v>
      </c>
      <c r="Q496" s="28">
        <v>85.503599999999992</v>
      </c>
      <c r="R496" s="1" t="str">
        <f t="shared" si="42"/>
        <v>Aug</v>
      </c>
      <c r="S496" s="28">
        <f t="shared" si="46"/>
        <v>57.24</v>
      </c>
      <c r="T496" s="28">
        <f t="shared" si="47"/>
        <v>28.26359999999999</v>
      </c>
      <c r="U496" s="11">
        <f t="shared" si="43"/>
        <v>0.33055450296829597</v>
      </c>
      <c r="V496" s="1" t="str">
        <f t="shared" si="44"/>
        <v>Standard</v>
      </c>
      <c r="W496" s="1" t="str">
        <f t="shared" si="45"/>
        <v>OK</v>
      </c>
    </row>
    <row r="497" spans="1:23">
      <c r="A497" s="1">
        <v>57115</v>
      </c>
      <c r="B497" s="10">
        <v>45888</v>
      </c>
      <c r="C497" s="1">
        <v>13</v>
      </c>
      <c r="D497" s="1" t="s">
        <v>57</v>
      </c>
      <c r="E497" s="1" t="s">
        <v>58</v>
      </c>
      <c r="F497" s="1" t="s">
        <v>64</v>
      </c>
      <c r="G497" s="1" t="s">
        <v>81</v>
      </c>
      <c r="H497" s="1" t="s">
        <v>61</v>
      </c>
      <c r="I497" s="1" t="s">
        <v>160</v>
      </c>
      <c r="J497" s="24">
        <v>14.7</v>
      </c>
      <c r="K497" s="24">
        <v>29.99</v>
      </c>
      <c r="L497" s="28">
        <v>15.29</v>
      </c>
      <c r="M497" s="1">
        <v>24</v>
      </c>
      <c r="N497" s="28">
        <v>719.76</v>
      </c>
      <c r="O497" s="29">
        <v>0</v>
      </c>
      <c r="P497" s="28">
        <v>0</v>
      </c>
      <c r="Q497" s="28">
        <v>719.76</v>
      </c>
      <c r="R497" s="1" t="str">
        <f t="shared" si="42"/>
        <v>Aug</v>
      </c>
      <c r="S497" s="28">
        <f t="shared" si="46"/>
        <v>352.79999999999995</v>
      </c>
      <c r="T497" s="28">
        <f t="shared" si="47"/>
        <v>366.96000000000004</v>
      </c>
      <c r="U497" s="11">
        <f t="shared" si="43"/>
        <v>0.50983661220406806</v>
      </c>
      <c r="V497" s="1" t="str">
        <f t="shared" si="44"/>
        <v>Slow</v>
      </c>
      <c r="W497" s="1" t="str">
        <f t="shared" si="45"/>
        <v>OK</v>
      </c>
    </row>
    <row r="498" spans="1:23">
      <c r="A498" s="1">
        <v>57116</v>
      </c>
      <c r="B498" s="10">
        <v>45889</v>
      </c>
      <c r="C498" s="1">
        <v>5</v>
      </c>
      <c r="D498" s="1" t="s">
        <v>57</v>
      </c>
      <c r="E498" s="1" t="s">
        <v>67</v>
      </c>
      <c r="F498" s="1" t="s">
        <v>96</v>
      </c>
      <c r="G498" s="1" t="s">
        <v>60</v>
      </c>
      <c r="H498" s="1" t="s">
        <v>70</v>
      </c>
      <c r="I498" s="1" t="s">
        <v>107</v>
      </c>
      <c r="J498" s="24">
        <v>13.88</v>
      </c>
      <c r="K498" s="24">
        <v>22.38</v>
      </c>
      <c r="L498" s="28">
        <v>8.4999999999999982</v>
      </c>
      <c r="M498" s="1">
        <v>9</v>
      </c>
      <c r="N498" s="28">
        <v>201.42</v>
      </c>
      <c r="O498" s="29">
        <v>0.03</v>
      </c>
      <c r="P498" s="28">
        <v>6.0425999999999993</v>
      </c>
      <c r="Q498" s="28">
        <v>195.37739999999999</v>
      </c>
      <c r="R498" s="1" t="str">
        <f t="shared" si="42"/>
        <v>Aug</v>
      </c>
      <c r="S498" s="28">
        <f t="shared" si="46"/>
        <v>124.92</v>
      </c>
      <c r="T498" s="28">
        <f t="shared" si="47"/>
        <v>70.457399999999993</v>
      </c>
      <c r="U498" s="11">
        <f t="shared" si="43"/>
        <v>0.36062205761771832</v>
      </c>
      <c r="V498" s="1" t="str">
        <f t="shared" si="44"/>
        <v>Standard</v>
      </c>
      <c r="W498" s="1" t="str">
        <f t="shared" si="45"/>
        <v>OK</v>
      </c>
    </row>
    <row r="499" spans="1:23">
      <c r="A499" s="1">
        <v>57117</v>
      </c>
      <c r="B499" s="10">
        <v>45889</v>
      </c>
      <c r="C499" s="1">
        <v>14</v>
      </c>
      <c r="D499" s="1" t="s">
        <v>78</v>
      </c>
      <c r="E499" s="1" t="s">
        <v>72</v>
      </c>
      <c r="F499" s="1" t="s">
        <v>75</v>
      </c>
      <c r="G499" s="1" t="s">
        <v>60</v>
      </c>
      <c r="H499" s="1" t="s">
        <v>90</v>
      </c>
      <c r="I499" s="1" t="s">
        <v>131</v>
      </c>
      <c r="J499" s="24">
        <v>0.24</v>
      </c>
      <c r="K499" s="24">
        <v>1.26</v>
      </c>
      <c r="L499" s="28">
        <v>1.02</v>
      </c>
      <c r="M499" s="1">
        <v>54</v>
      </c>
      <c r="N499" s="28">
        <v>68.040000000000006</v>
      </c>
      <c r="O499" s="29">
        <v>0</v>
      </c>
      <c r="P499" s="28">
        <v>0</v>
      </c>
      <c r="Q499" s="28">
        <v>68.040000000000006</v>
      </c>
      <c r="R499" s="1" t="str">
        <f t="shared" si="42"/>
        <v>Aug</v>
      </c>
      <c r="S499" s="28">
        <f t="shared" si="46"/>
        <v>12.959999999999999</v>
      </c>
      <c r="T499" s="28">
        <f t="shared" si="47"/>
        <v>55.080000000000005</v>
      </c>
      <c r="U499" s="11">
        <f t="shared" si="43"/>
        <v>0.80952380952380953</v>
      </c>
      <c r="V499" s="1" t="str">
        <f t="shared" si="44"/>
        <v>Slow</v>
      </c>
      <c r="W499" s="1" t="str">
        <f t="shared" si="45"/>
        <v>OK</v>
      </c>
    </row>
    <row r="500" spans="1:23">
      <c r="A500" s="1">
        <v>57118</v>
      </c>
      <c r="B500" s="10">
        <v>45889</v>
      </c>
      <c r="C500" s="1">
        <v>18</v>
      </c>
      <c r="D500" s="1" t="s">
        <v>78</v>
      </c>
      <c r="E500" s="1" t="s">
        <v>58</v>
      </c>
      <c r="F500" s="1" t="s">
        <v>108</v>
      </c>
      <c r="G500" s="1" t="s">
        <v>60</v>
      </c>
      <c r="H500" s="1" t="s">
        <v>68</v>
      </c>
      <c r="I500" s="1" t="s">
        <v>109</v>
      </c>
      <c r="J500" s="24">
        <v>8.92</v>
      </c>
      <c r="K500" s="24">
        <v>29.74</v>
      </c>
      <c r="L500" s="28">
        <v>20.82</v>
      </c>
      <c r="M500" s="1">
        <v>5</v>
      </c>
      <c r="N500" s="28">
        <v>148.69999999999999</v>
      </c>
      <c r="O500" s="29">
        <v>0.05</v>
      </c>
      <c r="P500" s="28">
        <v>7.4349999999999996</v>
      </c>
      <c r="Q500" s="28">
        <v>141.26499999999999</v>
      </c>
      <c r="R500" s="1" t="str">
        <f t="shared" si="42"/>
        <v>Aug</v>
      </c>
      <c r="S500" s="28">
        <f t="shared" si="46"/>
        <v>44.6</v>
      </c>
      <c r="T500" s="28">
        <f t="shared" si="47"/>
        <v>96.664999999999992</v>
      </c>
      <c r="U500" s="11">
        <f t="shared" si="43"/>
        <v>0.68428131525855662</v>
      </c>
      <c r="V500" s="1" t="str">
        <f t="shared" si="44"/>
        <v>Very Slow</v>
      </c>
      <c r="W500" s="1" t="str">
        <f t="shared" si="45"/>
        <v>OK</v>
      </c>
    </row>
    <row r="501" spans="1:23">
      <c r="A501" s="1">
        <v>57119</v>
      </c>
      <c r="B501" s="10">
        <v>45890</v>
      </c>
      <c r="C501" s="1">
        <v>4</v>
      </c>
      <c r="D501" s="1" t="s">
        <v>57</v>
      </c>
      <c r="E501" s="1" t="s">
        <v>87</v>
      </c>
      <c r="F501" s="1" t="s">
        <v>79</v>
      </c>
      <c r="G501" s="1" t="s">
        <v>85</v>
      </c>
      <c r="H501" s="1" t="s">
        <v>70</v>
      </c>
      <c r="I501" s="1" t="s">
        <v>86</v>
      </c>
      <c r="J501" s="24">
        <v>5.5</v>
      </c>
      <c r="K501" s="24">
        <v>12.22</v>
      </c>
      <c r="L501" s="28">
        <v>6.7200000000000006</v>
      </c>
      <c r="M501" s="1">
        <v>54</v>
      </c>
      <c r="N501" s="28">
        <v>659.88</v>
      </c>
      <c r="O501" s="29">
        <v>0.03</v>
      </c>
      <c r="P501" s="28">
        <v>19.796399999999998</v>
      </c>
      <c r="Q501" s="28">
        <v>640.08360000000005</v>
      </c>
      <c r="R501" s="1" t="str">
        <f t="shared" si="42"/>
        <v>Aug</v>
      </c>
      <c r="S501" s="28">
        <f t="shared" si="46"/>
        <v>297</v>
      </c>
      <c r="T501" s="28">
        <f t="shared" si="47"/>
        <v>343.08360000000005</v>
      </c>
      <c r="U501" s="11">
        <f t="shared" si="43"/>
        <v>0.53599811024684907</v>
      </c>
      <c r="V501" s="1" t="str">
        <f t="shared" si="44"/>
        <v>Standard</v>
      </c>
      <c r="W501" s="1" t="str">
        <f t="shared" si="45"/>
        <v>OK</v>
      </c>
    </row>
    <row r="502" spans="1:23">
      <c r="A502" s="1">
        <v>57120</v>
      </c>
      <c r="B502" s="10">
        <v>45890</v>
      </c>
      <c r="C502" s="1">
        <v>8</v>
      </c>
      <c r="D502" s="1" t="s">
        <v>63</v>
      </c>
      <c r="E502" s="1" t="s">
        <v>72</v>
      </c>
      <c r="F502" s="1" t="s">
        <v>18</v>
      </c>
      <c r="G502" s="1" t="s">
        <v>60</v>
      </c>
      <c r="H502" s="1" t="s">
        <v>65</v>
      </c>
      <c r="I502" s="1" t="s">
        <v>186</v>
      </c>
      <c r="J502" s="24">
        <v>11.11</v>
      </c>
      <c r="K502" s="24">
        <v>19.84</v>
      </c>
      <c r="L502" s="28">
        <v>8.73</v>
      </c>
      <c r="M502" s="1">
        <v>2</v>
      </c>
      <c r="N502" s="28">
        <v>39.68</v>
      </c>
      <c r="O502" s="29">
        <v>0.05</v>
      </c>
      <c r="P502" s="28">
        <v>1.984</v>
      </c>
      <c r="Q502" s="28">
        <v>37.695999999999998</v>
      </c>
      <c r="R502" s="1" t="str">
        <f t="shared" si="42"/>
        <v>Aug</v>
      </c>
      <c r="S502" s="28">
        <f t="shared" si="46"/>
        <v>22.22</v>
      </c>
      <c r="T502" s="28">
        <f t="shared" si="47"/>
        <v>15.475999999999999</v>
      </c>
      <c r="U502" s="11">
        <f t="shared" si="43"/>
        <v>0.41054753820033957</v>
      </c>
      <c r="V502" s="1" t="str">
        <f t="shared" si="44"/>
        <v>Slow</v>
      </c>
      <c r="W502" s="1" t="str">
        <f t="shared" si="45"/>
        <v>OK</v>
      </c>
    </row>
    <row r="503" spans="1:23">
      <c r="A503" s="1">
        <v>57121</v>
      </c>
      <c r="B503" s="10">
        <v>45891</v>
      </c>
      <c r="C503" s="1">
        <v>9</v>
      </c>
      <c r="D503" s="1" t="s">
        <v>57</v>
      </c>
      <c r="E503" s="1" t="s">
        <v>72</v>
      </c>
      <c r="F503" s="1" t="s">
        <v>75</v>
      </c>
      <c r="G503" s="1" t="s">
        <v>60</v>
      </c>
      <c r="H503" s="1" t="s">
        <v>90</v>
      </c>
      <c r="I503" s="1" t="s">
        <v>121</v>
      </c>
      <c r="J503" s="24">
        <v>1.84</v>
      </c>
      <c r="K503" s="24">
        <v>2.88</v>
      </c>
      <c r="L503" s="28">
        <v>1.04</v>
      </c>
      <c r="M503" s="1">
        <v>17</v>
      </c>
      <c r="N503" s="28">
        <v>48.96</v>
      </c>
      <c r="O503" s="29">
        <v>0.03</v>
      </c>
      <c r="P503" s="28">
        <v>1.4688000000000001</v>
      </c>
      <c r="Q503" s="28">
        <v>47.491199999999999</v>
      </c>
      <c r="R503" s="1" t="str">
        <f t="shared" si="42"/>
        <v>Aug</v>
      </c>
      <c r="S503" s="28">
        <f t="shared" si="46"/>
        <v>31.28</v>
      </c>
      <c r="T503" s="28">
        <f t="shared" si="47"/>
        <v>16.211199999999998</v>
      </c>
      <c r="U503" s="11">
        <f t="shared" si="43"/>
        <v>0.34135166093928976</v>
      </c>
      <c r="V503" s="1" t="str">
        <f t="shared" si="44"/>
        <v>Slow</v>
      </c>
      <c r="W503" s="1" t="str">
        <f t="shared" si="45"/>
        <v>OK</v>
      </c>
    </row>
    <row r="504" spans="1:23">
      <c r="A504" s="1">
        <v>57122</v>
      </c>
      <c r="B504" s="10">
        <v>45891</v>
      </c>
      <c r="C504" s="1">
        <v>2</v>
      </c>
      <c r="D504" s="1" t="s">
        <v>57</v>
      </c>
      <c r="E504" s="1" t="s">
        <v>67</v>
      </c>
      <c r="F504" s="1" t="s">
        <v>84</v>
      </c>
      <c r="G504" s="1" t="s">
        <v>60</v>
      </c>
      <c r="H504" s="1" t="s">
        <v>65</v>
      </c>
      <c r="I504" s="1" t="s">
        <v>97</v>
      </c>
      <c r="J504" s="24">
        <v>1.6</v>
      </c>
      <c r="K504" s="24">
        <v>2.62</v>
      </c>
      <c r="L504" s="28">
        <v>1.02</v>
      </c>
      <c r="M504" s="1">
        <v>18</v>
      </c>
      <c r="N504" s="28">
        <v>47.16</v>
      </c>
      <c r="O504" s="29">
        <v>0.09</v>
      </c>
      <c r="P504" s="28">
        <v>4.2444000000000006</v>
      </c>
      <c r="Q504" s="28">
        <v>42.915599999999998</v>
      </c>
      <c r="R504" s="1" t="str">
        <f t="shared" si="42"/>
        <v>Aug</v>
      </c>
      <c r="S504" s="28">
        <f t="shared" si="46"/>
        <v>28.8</v>
      </c>
      <c r="T504" s="28">
        <f t="shared" si="47"/>
        <v>14.115599999999997</v>
      </c>
      <c r="U504" s="11">
        <f t="shared" si="43"/>
        <v>0.32891535944971056</v>
      </c>
      <c r="V504" s="1" t="str">
        <f t="shared" si="44"/>
        <v>Fast</v>
      </c>
      <c r="W504" s="1" t="str">
        <f t="shared" si="45"/>
        <v>OK</v>
      </c>
    </row>
    <row r="505" spans="1:23">
      <c r="A505" s="1">
        <v>57123</v>
      </c>
      <c r="B505" s="10">
        <v>45892</v>
      </c>
      <c r="C505" s="1">
        <v>7</v>
      </c>
      <c r="D505" s="1" t="s">
        <v>57</v>
      </c>
      <c r="E505" s="1" t="s">
        <v>72</v>
      </c>
      <c r="F505" s="1" t="s">
        <v>73</v>
      </c>
      <c r="G505" s="1" t="s">
        <v>60</v>
      </c>
      <c r="H505" s="1" t="s">
        <v>68</v>
      </c>
      <c r="I505" s="1" t="s">
        <v>164</v>
      </c>
      <c r="J505" s="24">
        <v>0.87</v>
      </c>
      <c r="K505" s="24">
        <v>1.81</v>
      </c>
      <c r="L505" s="28">
        <v>0.94000000000000006</v>
      </c>
      <c r="M505" s="1">
        <v>46</v>
      </c>
      <c r="N505" s="28">
        <v>83.26</v>
      </c>
      <c r="O505" s="29">
        <v>0.08</v>
      </c>
      <c r="P505" s="28">
        <v>6.6608000000000009</v>
      </c>
      <c r="Q505" s="28">
        <v>76.59920000000001</v>
      </c>
      <c r="R505" s="1" t="str">
        <f t="shared" si="42"/>
        <v>Aug</v>
      </c>
      <c r="S505" s="28">
        <f t="shared" si="46"/>
        <v>40.020000000000003</v>
      </c>
      <c r="T505" s="28">
        <f t="shared" si="47"/>
        <v>36.579200000000007</v>
      </c>
      <c r="U505" s="11">
        <f t="shared" si="43"/>
        <v>0.47754023540715834</v>
      </c>
      <c r="V505" s="1" t="str">
        <f t="shared" si="44"/>
        <v>Standard</v>
      </c>
      <c r="W505" s="1" t="str">
        <f t="shared" si="45"/>
        <v>OK</v>
      </c>
    </row>
    <row r="506" spans="1:23">
      <c r="A506" s="1">
        <v>57124</v>
      </c>
      <c r="B506" s="10">
        <v>45892</v>
      </c>
      <c r="C506" s="1">
        <v>9</v>
      </c>
      <c r="D506" s="1" t="s">
        <v>57</v>
      </c>
      <c r="E506" s="1" t="s">
        <v>87</v>
      </c>
      <c r="F506" s="1" t="s">
        <v>73</v>
      </c>
      <c r="G506" s="1" t="s">
        <v>85</v>
      </c>
      <c r="H506" s="1" t="s">
        <v>61</v>
      </c>
      <c r="I506" s="1" t="s">
        <v>111</v>
      </c>
      <c r="J506" s="24">
        <v>11.38</v>
      </c>
      <c r="K506" s="24">
        <v>18.649999999999999</v>
      </c>
      <c r="L506" s="28">
        <v>7.2699999999999978</v>
      </c>
      <c r="M506" s="1">
        <v>51</v>
      </c>
      <c r="N506" s="28">
        <v>951.15</v>
      </c>
      <c r="O506" s="29">
        <v>0.03</v>
      </c>
      <c r="P506" s="28">
        <v>28.534500000000001</v>
      </c>
      <c r="Q506" s="28">
        <v>922.6155</v>
      </c>
      <c r="R506" s="1" t="str">
        <f t="shared" si="42"/>
        <v>Aug</v>
      </c>
      <c r="S506" s="28">
        <f t="shared" si="46"/>
        <v>580.38</v>
      </c>
      <c r="T506" s="28">
        <f t="shared" si="47"/>
        <v>342.2355</v>
      </c>
      <c r="U506" s="11">
        <f t="shared" si="43"/>
        <v>0.37094054890688483</v>
      </c>
      <c r="V506" s="1" t="str">
        <f t="shared" si="44"/>
        <v>Slow</v>
      </c>
      <c r="W506" s="1" t="str">
        <f t="shared" si="45"/>
        <v>OK</v>
      </c>
    </row>
    <row r="507" spans="1:23">
      <c r="A507" s="1">
        <v>57125</v>
      </c>
      <c r="B507" s="10">
        <v>45892</v>
      </c>
      <c r="C507" s="1">
        <v>4</v>
      </c>
      <c r="D507" s="1" t="s">
        <v>57</v>
      </c>
      <c r="E507" s="1" t="s">
        <v>72</v>
      </c>
      <c r="F507" s="1" t="s">
        <v>64</v>
      </c>
      <c r="G507" s="1" t="s">
        <v>60</v>
      </c>
      <c r="H507" s="1" t="s">
        <v>90</v>
      </c>
      <c r="I507" s="1" t="s">
        <v>197</v>
      </c>
      <c r="J507" s="24">
        <v>2.74</v>
      </c>
      <c r="K507" s="24">
        <v>4.49</v>
      </c>
      <c r="L507" s="28">
        <v>1.75</v>
      </c>
      <c r="M507" s="1">
        <v>15</v>
      </c>
      <c r="N507" s="28">
        <v>67.350000000000009</v>
      </c>
      <c r="O507" s="29">
        <v>0.05</v>
      </c>
      <c r="P507" s="28">
        <v>3.367500000000001</v>
      </c>
      <c r="Q507" s="28">
        <v>63.982500000000009</v>
      </c>
      <c r="R507" s="1" t="str">
        <f t="shared" si="42"/>
        <v>Aug</v>
      </c>
      <c r="S507" s="28">
        <f t="shared" si="46"/>
        <v>41.1</v>
      </c>
      <c r="T507" s="28">
        <f t="shared" si="47"/>
        <v>22.882500000000007</v>
      </c>
      <c r="U507" s="11">
        <f t="shared" si="43"/>
        <v>0.35763685382721844</v>
      </c>
      <c r="V507" s="1" t="str">
        <f t="shared" si="44"/>
        <v>Standard</v>
      </c>
      <c r="W507" s="1" t="str">
        <f t="shared" si="45"/>
        <v>OK</v>
      </c>
    </row>
    <row r="508" spans="1:23">
      <c r="A508" s="1">
        <v>57126</v>
      </c>
      <c r="B508" s="10">
        <v>45893</v>
      </c>
      <c r="C508" s="1">
        <v>15</v>
      </c>
      <c r="D508" s="1" t="s">
        <v>63</v>
      </c>
      <c r="E508" s="1" t="s">
        <v>72</v>
      </c>
      <c r="F508" s="1" t="s">
        <v>73</v>
      </c>
      <c r="G508" s="1" t="s">
        <v>81</v>
      </c>
      <c r="H508" s="1" t="s">
        <v>65</v>
      </c>
      <c r="I508" s="1" t="s">
        <v>150</v>
      </c>
      <c r="J508" s="24">
        <v>8.82</v>
      </c>
      <c r="K508" s="24">
        <v>20.99</v>
      </c>
      <c r="L508" s="28">
        <v>12.17</v>
      </c>
      <c r="M508" s="1">
        <v>55</v>
      </c>
      <c r="N508" s="28">
        <v>1154.45</v>
      </c>
      <c r="O508" s="29">
        <v>0.06</v>
      </c>
      <c r="P508" s="28">
        <v>69.266999999999982</v>
      </c>
      <c r="Q508" s="28">
        <v>1085.183</v>
      </c>
      <c r="R508" s="1" t="str">
        <f t="shared" si="42"/>
        <v>Aug</v>
      </c>
      <c r="S508" s="28">
        <f t="shared" si="46"/>
        <v>485.1</v>
      </c>
      <c r="T508" s="28">
        <f t="shared" si="47"/>
        <v>600.08299999999997</v>
      </c>
      <c r="U508" s="11">
        <f t="shared" si="43"/>
        <v>0.5529786220388635</v>
      </c>
      <c r="V508" s="1" t="str">
        <f t="shared" si="44"/>
        <v>Very Slow</v>
      </c>
      <c r="W508" s="1" t="str">
        <f t="shared" si="45"/>
        <v>OK</v>
      </c>
    </row>
    <row r="509" spans="1:23">
      <c r="A509" s="1">
        <v>57127</v>
      </c>
      <c r="B509" s="10">
        <v>45893</v>
      </c>
      <c r="C509" s="1">
        <v>15</v>
      </c>
      <c r="D509" s="1" t="s">
        <v>57</v>
      </c>
      <c r="E509" s="1" t="s">
        <v>87</v>
      </c>
      <c r="F509" s="1" t="s">
        <v>59</v>
      </c>
      <c r="G509" s="1" t="s">
        <v>60</v>
      </c>
      <c r="H509" s="1" t="s">
        <v>90</v>
      </c>
      <c r="I509" s="1" t="s">
        <v>118</v>
      </c>
      <c r="J509" s="24">
        <v>3.32</v>
      </c>
      <c r="K509" s="24">
        <v>5.18</v>
      </c>
      <c r="L509" s="28">
        <v>1.86</v>
      </c>
      <c r="M509" s="1">
        <v>43</v>
      </c>
      <c r="N509" s="28">
        <v>222.74</v>
      </c>
      <c r="O509" s="29">
        <v>0.03</v>
      </c>
      <c r="P509" s="28">
        <v>6.682199999999999</v>
      </c>
      <c r="Q509" s="28">
        <v>216.05779999999999</v>
      </c>
      <c r="R509" s="1" t="str">
        <f t="shared" si="42"/>
        <v>Aug</v>
      </c>
      <c r="S509" s="28">
        <f t="shared" si="46"/>
        <v>142.76</v>
      </c>
      <c r="T509" s="28">
        <f t="shared" si="47"/>
        <v>73.297799999999995</v>
      </c>
      <c r="U509" s="11">
        <f t="shared" si="43"/>
        <v>0.33925088564263822</v>
      </c>
      <c r="V509" s="1" t="str">
        <f t="shared" si="44"/>
        <v>Very Slow</v>
      </c>
      <c r="W509" s="1" t="str">
        <f t="shared" si="45"/>
        <v>OK</v>
      </c>
    </row>
    <row r="510" spans="1:23">
      <c r="A510" s="1">
        <v>57128</v>
      </c>
      <c r="B510" s="10">
        <v>45894</v>
      </c>
      <c r="C510" s="1">
        <v>19</v>
      </c>
      <c r="D510" s="1" t="s">
        <v>78</v>
      </c>
      <c r="E510" s="1" t="s">
        <v>67</v>
      </c>
      <c r="F510" s="1" t="s">
        <v>100</v>
      </c>
      <c r="G510" s="1" t="s">
        <v>60</v>
      </c>
      <c r="H510" s="1" t="s">
        <v>61</v>
      </c>
      <c r="I510" s="1" t="s">
        <v>187</v>
      </c>
      <c r="J510" s="24">
        <v>2.2599999999999998</v>
      </c>
      <c r="K510" s="24">
        <v>3.58</v>
      </c>
      <c r="L510" s="28">
        <v>1.32</v>
      </c>
      <c r="M510" s="1">
        <v>30</v>
      </c>
      <c r="N510" s="28">
        <v>107.4</v>
      </c>
      <c r="O510" s="29">
        <v>0.04</v>
      </c>
      <c r="P510" s="28">
        <v>4.2960000000000003</v>
      </c>
      <c r="Q510" s="28">
        <v>103.104</v>
      </c>
      <c r="R510" s="1" t="str">
        <f t="shared" si="42"/>
        <v>Aug</v>
      </c>
      <c r="S510" s="28">
        <f t="shared" si="46"/>
        <v>67.8</v>
      </c>
      <c r="T510" s="28">
        <f t="shared" si="47"/>
        <v>35.304000000000002</v>
      </c>
      <c r="U510" s="11">
        <f t="shared" si="43"/>
        <v>0.34241154562383613</v>
      </c>
      <c r="V510" s="1" t="str">
        <f t="shared" si="44"/>
        <v>Very Slow</v>
      </c>
      <c r="W510" s="1" t="str">
        <f t="shared" si="45"/>
        <v>OK</v>
      </c>
    </row>
    <row r="511" spans="1:23">
      <c r="A511" s="1">
        <v>57129</v>
      </c>
      <c r="B511" s="10">
        <v>45894</v>
      </c>
      <c r="C511" s="1">
        <v>18</v>
      </c>
      <c r="D511" s="1" t="s">
        <v>78</v>
      </c>
      <c r="E511" s="1" t="s">
        <v>72</v>
      </c>
      <c r="F511" s="1" t="s">
        <v>96</v>
      </c>
      <c r="G511" s="1" t="s">
        <v>60</v>
      </c>
      <c r="H511" s="1" t="s">
        <v>65</v>
      </c>
      <c r="I511" s="1" t="s">
        <v>203</v>
      </c>
      <c r="J511" s="24">
        <v>1.84</v>
      </c>
      <c r="K511" s="24">
        <v>2.88</v>
      </c>
      <c r="L511" s="28">
        <v>1.04</v>
      </c>
      <c r="M511" s="1">
        <v>45</v>
      </c>
      <c r="N511" s="28">
        <v>129.6</v>
      </c>
      <c r="O511" s="29">
        <v>0.03</v>
      </c>
      <c r="P511" s="28">
        <v>3.8879999999999999</v>
      </c>
      <c r="Q511" s="28">
        <v>125.712</v>
      </c>
      <c r="R511" s="1" t="str">
        <f t="shared" si="42"/>
        <v>Aug</v>
      </c>
      <c r="S511" s="28">
        <f t="shared" si="46"/>
        <v>82.8</v>
      </c>
      <c r="T511" s="28">
        <f t="shared" si="47"/>
        <v>42.912000000000006</v>
      </c>
      <c r="U511" s="11">
        <f t="shared" si="43"/>
        <v>0.34135166093928987</v>
      </c>
      <c r="V511" s="1" t="str">
        <f t="shared" si="44"/>
        <v>Very Slow</v>
      </c>
      <c r="W511" s="1" t="str">
        <f t="shared" si="45"/>
        <v>OK</v>
      </c>
    </row>
    <row r="512" spans="1:23">
      <c r="A512" s="1">
        <v>57130</v>
      </c>
      <c r="B512" s="10">
        <v>45896</v>
      </c>
      <c r="C512" s="1">
        <v>10</v>
      </c>
      <c r="D512" s="1" t="s">
        <v>57</v>
      </c>
      <c r="E512" s="1" t="s">
        <v>72</v>
      </c>
      <c r="F512" s="1" t="s">
        <v>59</v>
      </c>
      <c r="G512" s="1" t="s">
        <v>60</v>
      </c>
      <c r="H512" s="1" t="s">
        <v>90</v>
      </c>
      <c r="I512" s="1" t="s">
        <v>148</v>
      </c>
      <c r="J512" s="24">
        <v>1.0900000000000001</v>
      </c>
      <c r="K512" s="24">
        <v>1.68</v>
      </c>
      <c r="L512" s="28">
        <v>0.58999999999999986</v>
      </c>
      <c r="M512" s="1">
        <v>51</v>
      </c>
      <c r="N512" s="28">
        <v>85.679999999999993</v>
      </c>
      <c r="O512" s="29">
        <v>0.09</v>
      </c>
      <c r="P512" s="28">
        <v>7.7111999999999989</v>
      </c>
      <c r="Q512" s="28">
        <v>77.968799999999987</v>
      </c>
      <c r="R512" s="1" t="str">
        <f t="shared" si="42"/>
        <v>Aug</v>
      </c>
      <c r="S512" s="28">
        <f t="shared" si="46"/>
        <v>55.59</v>
      </c>
      <c r="T512" s="28">
        <f t="shared" si="47"/>
        <v>22.378799999999984</v>
      </c>
      <c r="U512" s="11">
        <f t="shared" si="43"/>
        <v>0.28702250130821544</v>
      </c>
      <c r="V512" s="1" t="str">
        <f t="shared" si="44"/>
        <v>Slow</v>
      </c>
      <c r="W512" s="1" t="str">
        <f t="shared" si="45"/>
        <v>OK</v>
      </c>
    </row>
    <row r="513" spans="1:23">
      <c r="A513" s="1">
        <v>57131</v>
      </c>
      <c r="B513" s="10">
        <v>45897</v>
      </c>
      <c r="C513" s="1">
        <v>13</v>
      </c>
      <c r="D513" s="1" t="s">
        <v>57</v>
      </c>
      <c r="E513" s="1" t="s">
        <v>87</v>
      </c>
      <c r="F513" s="1" t="s">
        <v>79</v>
      </c>
      <c r="G513" s="1" t="s">
        <v>85</v>
      </c>
      <c r="H513" s="1" t="s">
        <v>61</v>
      </c>
      <c r="I513" s="1" t="s">
        <v>170</v>
      </c>
      <c r="J513" s="24">
        <v>56.16</v>
      </c>
      <c r="K513" s="24">
        <v>136.97999999999999</v>
      </c>
      <c r="L513" s="28">
        <v>80.819999999999993</v>
      </c>
      <c r="M513" s="1">
        <v>6</v>
      </c>
      <c r="N513" s="28">
        <v>821.87999999999988</v>
      </c>
      <c r="O513" s="29">
        <v>0.02</v>
      </c>
      <c r="P513" s="28">
        <v>16.4376</v>
      </c>
      <c r="Q513" s="28">
        <v>805.44239999999991</v>
      </c>
      <c r="R513" s="1" t="str">
        <f t="shared" si="42"/>
        <v>Aug</v>
      </c>
      <c r="S513" s="28">
        <f t="shared" si="46"/>
        <v>336.96</v>
      </c>
      <c r="T513" s="28">
        <f t="shared" si="47"/>
        <v>468.48239999999993</v>
      </c>
      <c r="U513" s="11">
        <f t="shared" si="43"/>
        <v>0.58164606184129364</v>
      </c>
      <c r="V513" s="1" t="str">
        <f t="shared" si="44"/>
        <v>Slow</v>
      </c>
      <c r="W513" s="1" t="str">
        <f t="shared" si="45"/>
        <v>OK</v>
      </c>
    </row>
    <row r="514" spans="1:23">
      <c r="A514" s="1">
        <v>57132</v>
      </c>
      <c r="B514" s="10">
        <v>45899</v>
      </c>
      <c r="C514" s="1">
        <v>14</v>
      </c>
      <c r="D514" s="1" t="s">
        <v>78</v>
      </c>
      <c r="E514" s="1" t="s">
        <v>72</v>
      </c>
      <c r="F514" s="1" t="s">
        <v>108</v>
      </c>
      <c r="G514" s="1" t="s">
        <v>60</v>
      </c>
      <c r="H514" s="1" t="s">
        <v>68</v>
      </c>
      <c r="I514" s="1" t="s">
        <v>66</v>
      </c>
      <c r="J514" s="24">
        <v>0.94</v>
      </c>
      <c r="K514" s="24">
        <v>1.88</v>
      </c>
      <c r="L514" s="28">
        <v>0.94</v>
      </c>
      <c r="M514" s="1">
        <v>25</v>
      </c>
      <c r="N514" s="28">
        <v>47</v>
      </c>
      <c r="O514" s="29">
        <v>7.0000000000000007E-2</v>
      </c>
      <c r="P514" s="28">
        <v>3.29</v>
      </c>
      <c r="Q514" s="28">
        <v>43.71</v>
      </c>
      <c r="R514" s="1" t="str">
        <f t="shared" si="42"/>
        <v>Aug</v>
      </c>
      <c r="S514" s="28">
        <f t="shared" si="46"/>
        <v>23.5</v>
      </c>
      <c r="T514" s="28">
        <f t="shared" si="47"/>
        <v>20.21</v>
      </c>
      <c r="U514" s="11">
        <f t="shared" si="43"/>
        <v>0.4623655913978495</v>
      </c>
      <c r="V514" s="1" t="str">
        <f t="shared" si="44"/>
        <v>Slow</v>
      </c>
      <c r="W514" s="1" t="str">
        <f t="shared" si="45"/>
        <v>OK</v>
      </c>
    </row>
    <row r="515" spans="1:23">
      <c r="A515" s="1">
        <v>57133</v>
      </c>
      <c r="B515" s="10">
        <v>45900</v>
      </c>
      <c r="C515" s="1">
        <v>13</v>
      </c>
      <c r="D515" s="1" t="s">
        <v>57</v>
      </c>
      <c r="E515" s="1" t="s">
        <v>72</v>
      </c>
      <c r="F515" s="1" t="s">
        <v>96</v>
      </c>
      <c r="G515" s="1" t="s">
        <v>60</v>
      </c>
      <c r="H515" s="1" t="s">
        <v>68</v>
      </c>
      <c r="I515" s="1" t="s">
        <v>181</v>
      </c>
      <c r="J515" s="24">
        <v>3.48</v>
      </c>
      <c r="K515" s="24">
        <v>5.43</v>
      </c>
      <c r="L515" s="28">
        <v>1.95</v>
      </c>
      <c r="M515" s="1">
        <v>3</v>
      </c>
      <c r="N515" s="28">
        <v>16.29</v>
      </c>
      <c r="O515" s="29">
        <v>0.03</v>
      </c>
      <c r="P515" s="28">
        <v>0.48870000000000002</v>
      </c>
      <c r="Q515" s="28">
        <v>15.801299999999999</v>
      </c>
      <c r="R515" s="1" t="str">
        <f t="shared" si="42"/>
        <v>Aug</v>
      </c>
      <c r="S515" s="28">
        <f t="shared" si="46"/>
        <v>10.44</v>
      </c>
      <c r="T515" s="28">
        <f t="shared" si="47"/>
        <v>5.3613</v>
      </c>
      <c r="U515" s="11">
        <f t="shared" si="43"/>
        <v>0.33929486814376031</v>
      </c>
      <c r="V515" s="1" t="str">
        <f t="shared" si="44"/>
        <v>Slow</v>
      </c>
      <c r="W515" s="1" t="str">
        <f t="shared" si="45"/>
        <v>OK</v>
      </c>
    </row>
    <row r="516" spans="1:23">
      <c r="A516" s="1">
        <v>57134</v>
      </c>
      <c r="B516" s="10">
        <v>45900</v>
      </c>
      <c r="C516" s="1">
        <v>11</v>
      </c>
      <c r="D516" s="1" t="s">
        <v>57</v>
      </c>
      <c r="E516" s="1" t="s">
        <v>67</v>
      </c>
      <c r="F516" s="1" t="s">
        <v>108</v>
      </c>
      <c r="G516" s="1" t="s">
        <v>60</v>
      </c>
      <c r="H516" s="1" t="s">
        <v>70</v>
      </c>
      <c r="I516" s="1" t="s">
        <v>207</v>
      </c>
      <c r="J516" s="24">
        <v>11.04</v>
      </c>
      <c r="K516" s="24">
        <v>16.98</v>
      </c>
      <c r="L516" s="28">
        <v>5.9400000000000013</v>
      </c>
      <c r="M516" s="1">
        <v>1</v>
      </c>
      <c r="N516" s="28">
        <v>16.98</v>
      </c>
      <c r="O516" s="29">
        <v>0.03</v>
      </c>
      <c r="P516" s="28">
        <v>0.50939999999999996</v>
      </c>
      <c r="Q516" s="28">
        <v>16.470600000000001</v>
      </c>
      <c r="R516" s="1" t="str">
        <f t="shared" si="42"/>
        <v>Aug</v>
      </c>
      <c r="S516" s="28">
        <f t="shared" si="46"/>
        <v>11.04</v>
      </c>
      <c r="T516" s="28">
        <f t="shared" si="47"/>
        <v>5.4306000000000019</v>
      </c>
      <c r="U516" s="11">
        <f t="shared" si="43"/>
        <v>0.32971476448945403</v>
      </c>
      <c r="V516" s="1" t="str">
        <f t="shared" si="44"/>
        <v>Slow</v>
      </c>
      <c r="W516" s="1" t="str">
        <f t="shared" si="45"/>
        <v>OK</v>
      </c>
    </row>
    <row r="517" spans="1:23">
      <c r="A517" s="1">
        <v>57135</v>
      </c>
      <c r="B517" s="10">
        <v>45900</v>
      </c>
      <c r="C517" s="1">
        <v>5</v>
      </c>
      <c r="D517" s="1" t="s">
        <v>57</v>
      </c>
      <c r="E517" s="1" t="s">
        <v>87</v>
      </c>
      <c r="F517" s="1" t="s">
        <v>64</v>
      </c>
      <c r="G517" s="1" t="s">
        <v>81</v>
      </c>
      <c r="H517" s="1" t="s">
        <v>90</v>
      </c>
      <c r="I517" s="1" t="s">
        <v>113</v>
      </c>
      <c r="J517" s="24">
        <v>8.31</v>
      </c>
      <c r="K517" s="24">
        <v>15.98</v>
      </c>
      <c r="L517" s="28">
        <v>7.67</v>
      </c>
      <c r="M517" s="1">
        <v>40</v>
      </c>
      <c r="N517" s="28">
        <v>639.20000000000005</v>
      </c>
      <c r="O517" s="29">
        <v>0.03</v>
      </c>
      <c r="P517" s="28">
        <v>19.175999999999998</v>
      </c>
      <c r="Q517" s="28">
        <v>620.024</v>
      </c>
      <c r="R517" s="1" t="str">
        <f t="shared" ref="R517:R580" si="48">TEXT(B517,"mmm")</f>
        <v>Aug</v>
      </c>
      <c r="S517" s="28">
        <f t="shared" si="46"/>
        <v>332.40000000000003</v>
      </c>
      <c r="T517" s="28">
        <f t="shared" si="47"/>
        <v>287.62399999999997</v>
      </c>
      <c r="U517" s="11">
        <f t="shared" ref="U517:U580" si="49">IF(Q517=0,0,T517/Q517)</f>
        <v>0.46389172032050369</v>
      </c>
      <c r="V517" s="1" t="str">
        <f t="shared" ref="V517:V580" si="50">IF(C517&lt;=3,"Fast",IF(C517&lt;=7,"Standard",IF(C517&lt;=14,"Slow","Very Slow")))</f>
        <v>Standard</v>
      </c>
      <c r="W517" s="1" t="str">
        <f t="shared" ref="W517:W580" si="51">IF(OR(H517="Not Specifiedd",P517&lt;0),"Review","OK")</f>
        <v>OK</v>
      </c>
    </row>
    <row r="518" spans="1:23">
      <c r="A518" s="1">
        <v>57136</v>
      </c>
      <c r="B518" s="10">
        <v>45901</v>
      </c>
      <c r="C518" s="1">
        <v>14</v>
      </c>
      <c r="D518" s="1" t="s">
        <v>57</v>
      </c>
      <c r="E518" s="1" t="s">
        <v>72</v>
      </c>
      <c r="F518" s="1" t="s">
        <v>59</v>
      </c>
      <c r="G518" s="1" t="s">
        <v>60</v>
      </c>
      <c r="H518" s="1" t="s">
        <v>68</v>
      </c>
      <c r="I518" s="1" t="s">
        <v>133</v>
      </c>
      <c r="J518" s="24">
        <v>3.65</v>
      </c>
      <c r="K518" s="24">
        <v>5.98</v>
      </c>
      <c r="L518" s="28">
        <v>2.330000000000001</v>
      </c>
      <c r="M518" s="1">
        <v>20</v>
      </c>
      <c r="N518" s="28">
        <v>119.6</v>
      </c>
      <c r="O518" s="29">
        <v>7.0000000000000007E-2</v>
      </c>
      <c r="P518" s="28">
        <v>8.3720000000000017</v>
      </c>
      <c r="Q518" s="28">
        <v>111.22799999999999</v>
      </c>
      <c r="R518" s="1" t="str">
        <f t="shared" si="48"/>
        <v>Sep</v>
      </c>
      <c r="S518" s="28">
        <f t="shared" ref="S518:S581" si="52">J518*M518</f>
        <v>73</v>
      </c>
      <c r="T518" s="28">
        <f t="shared" ref="T518:T581" si="53">Q518-S518</f>
        <v>38.227999999999994</v>
      </c>
      <c r="U518" s="11">
        <f t="shared" si="49"/>
        <v>0.34369043765958207</v>
      </c>
      <c r="V518" s="1" t="str">
        <f t="shared" si="50"/>
        <v>Slow</v>
      </c>
      <c r="W518" s="1" t="str">
        <f t="shared" si="51"/>
        <v>OK</v>
      </c>
    </row>
    <row r="519" spans="1:23">
      <c r="A519" s="1">
        <v>57137</v>
      </c>
      <c r="B519" s="10">
        <v>45901</v>
      </c>
      <c r="C519" s="1">
        <v>8</v>
      </c>
      <c r="D519" s="1" t="s">
        <v>78</v>
      </c>
      <c r="E519" s="1" t="s">
        <v>67</v>
      </c>
      <c r="F519" s="1" t="s">
        <v>98</v>
      </c>
      <c r="G519" s="1" t="s">
        <v>60</v>
      </c>
      <c r="H519" s="1" t="s">
        <v>68</v>
      </c>
      <c r="I519" s="1" t="s">
        <v>125</v>
      </c>
      <c r="J519" s="24">
        <v>1.82</v>
      </c>
      <c r="K519" s="24">
        <v>2.84</v>
      </c>
      <c r="L519" s="28">
        <v>1.02</v>
      </c>
      <c r="M519" s="1">
        <v>17</v>
      </c>
      <c r="N519" s="28">
        <v>48.28</v>
      </c>
      <c r="O519" s="29">
        <v>0</v>
      </c>
      <c r="P519" s="28">
        <v>0</v>
      </c>
      <c r="Q519" s="28">
        <v>48.28</v>
      </c>
      <c r="R519" s="1" t="str">
        <f t="shared" si="48"/>
        <v>Sep</v>
      </c>
      <c r="S519" s="28">
        <f t="shared" si="52"/>
        <v>30.94</v>
      </c>
      <c r="T519" s="28">
        <f t="shared" si="53"/>
        <v>17.34</v>
      </c>
      <c r="U519" s="11">
        <f t="shared" si="49"/>
        <v>0.35915492957746475</v>
      </c>
      <c r="V519" s="1" t="str">
        <f t="shared" si="50"/>
        <v>Slow</v>
      </c>
      <c r="W519" s="1" t="str">
        <f t="shared" si="51"/>
        <v>OK</v>
      </c>
    </row>
    <row r="520" spans="1:23">
      <c r="A520" s="1">
        <v>57138</v>
      </c>
      <c r="B520" s="10">
        <v>45902</v>
      </c>
      <c r="C520" s="1">
        <v>12</v>
      </c>
      <c r="D520" s="1" t="s">
        <v>57</v>
      </c>
      <c r="E520" s="1" t="s">
        <v>67</v>
      </c>
      <c r="F520" s="1" t="s">
        <v>73</v>
      </c>
      <c r="G520" s="1" t="s">
        <v>60</v>
      </c>
      <c r="H520" s="1" t="s">
        <v>70</v>
      </c>
      <c r="I520" s="1" t="s">
        <v>181</v>
      </c>
      <c r="J520" s="24">
        <v>3.48</v>
      </c>
      <c r="K520" s="24">
        <v>5.43</v>
      </c>
      <c r="L520" s="28">
        <v>1.95</v>
      </c>
      <c r="M520" s="1">
        <v>55</v>
      </c>
      <c r="N520" s="28">
        <v>298.64999999999998</v>
      </c>
      <c r="O520" s="29">
        <v>0.05</v>
      </c>
      <c r="P520" s="28">
        <v>14.932499999999999</v>
      </c>
      <c r="Q520" s="28">
        <v>283.71749999999997</v>
      </c>
      <c r="R520" s="1" t="str">
        <f t="shared" si="48"/>
        <v>Sep</v>
      </c>
      <c r="S520" s="28">
        <f t="shared" si="52"/>
        <v>191.4</v>
      </c>
      <c r="T520" s="28">
        <f t="shared" si="53"/>
        <v>92.317499999999967</v>
      </c>
      <c r="U520" s="11">
        <f t="shared" si="49"/>
        <v>0.32538528642047099</v>
      </c>
      <c r="V520" s="1" t="str">
        <f t="shared" si="50"/>
        <v>Slow</v>
      </c>
      <c r="W520" s="1" t="str">
        <f t="shared" si="51"/>
        <v>OK</v>
      </c>
    </row>
    <row r="521" spans="1:23">
      <c r="A521" s="1">
        <v>57139</v>
      </c>
      <c r="B521" s="10">
        <v>45903</v>
      </c>
      <c r="C521" s="1">
        <v>22</v>
      </c>
      <c r="D521" s="1" t="s">
        <v>57</v>
      </c>
      <c r="E521" s="1" t="s">
        <v>67</v>
      </c>
      <c r="F521" s="1" t="s">
        <v>75</v>
      </c>
      <c r="G521" s="1" t="s">
        <v>60</v>
      </c>
      <c r="H521" s="1" t="s">
        <v>70</v>
      </c>
      <c r="I521" s="1" t="s">
        <v>190</v>
      </c>
      <c r="J521" s="24">
        <v>5.22</v>
      </c>
      <c r="K521" s="24">
        <v>9.85</v>
      </c>
      <c r="L521" s="28">
        <v>4.63</v>
      </c>
      <c r="M521" s="1">
        <v>25</v>
      </c>
      <c r="N521" s="28">
        <v>246.25</v>
      </c>
      <c r="O521" s="29">
        <v>0.1</v>
      </c>
      <c r="P521" s="28">
        <v>24.625</v>
      </c>
      <c r="Q521" s="28">
        <v>221.625</v>
      </c>
      <c r="R521" s="1" t="str">
        <f t="shared" si="48"/>
        <v>Sep</v>
      </c>
      <c r="S521" s="28">
        <f t="shared" si="52"/>
        <v>130.5</v>
      </c>
      <c r="T521" s="28">
        <f t="shared" si="53"/>
        <v>91.125</v>
      </c>
      <c r="U521" s="11">
        <f t="shared" si="49"/>
        <v>0.41116751269035534</v>
      </c>
      <c r="V521" s="1" t="str">
        <f t="shared" si="50"/>
        <v>Very Slow</v>
      </c>
      <c r="W521" s="1" t="str">
        <f t="shared" si="51"/>
        <v>OK</v>
      </c>
    </row>
    <row r="522" spans="1:23">
      <c r="A522" s="1">
        <v>57140</v>
      </c>
      <c r="B522" s="10">
        <v>45904</v>
      </c>
      <c r="C522" s="1">
        <v>11</v>
      </c>
      <c r="D522" s="1" t="s">
        <v>78</v>
      </c>
      <c r="E522" s="1" t="s">
        <v>72</v>
      </c>
      <c r="F522" s="1" t="s">
        <v>73</v>
      </c>
      <c r="G522" s="1" t="s">
        <v>60</v>
      </c>
      <c r="H522" s="1" t="s">
        <v>70</v>
      </c>
      <c r="I522" s="1" t="s">
        <v>145</v>
      </c>
      <c r="J522" s="24">
        <v>0.92</v>
      </c>
      <c r="K522" s="24">
        <v>1.81</v>
      </c>
      <c r="L522" s="28">
        <v>0.89</v>
      </c>
      <c r="M522" s="1">
        <v>40</v>
      </c>
      <c r="N522" s="28">
        <v>72.400000000000006</v>
      </c>
      <c r="O522" s="29">
        <v>0.02</v>
      </c>
      <c r="P522" s="28">
        <v>1.448</v>
      </c>
      <c r="Q522" s="28">
        <v>70.952000000000012</v>
      </c>
      <c r="R522" s="1" t="str">
        <f t="shared" si="48"/>
        <v>Sep</v>
      </c>
      <c r="S522" s="28">
        <f t="shared" si="52"/>
        <v>36.800000000000004</v>
      </c>
      <c r="T522" s="28">
        <f t="shared" si="53"/>
        <v>34.152000000000008</v>
      </c>
      <c r="U522" s="11">
        <f t="shared" si="49"/>
        <v>0.48133949712481683</v>
      </c>
      <c r="V522" s="1" t="str">
        <f t="shared" si="50"/>
        <v>Slow</v>
      </c>
      <c r="W522" s="1" t="str">
        <f t="shared" si="51"/>
        <v>OK</v>
      </c>
    </row>
    <row r="523" spans="1:23">
      <c r="A523" s="1">
        <v>57141</v>
      </c>
      <c r="B523" s="10">
        <v>45904</v>
      </c>
      <c r="C523" s="1">
        <v>22</v>
      </c>
      <c r="D523" s="1" t="s">
        <v>57</v>
      </c>
      <c r="E523" s="1" t="s">
        <v>72</v>
      </c>
      <c r="F523" s="1" t="s">
        <v>59</v>
      </c>
      <c r="G523" s="1" t="s">
        <v>81</v>
      </c>
      <c r="H523" s="1" t="s">
        <v>61</v>
      </c>
      <c r="I523" s="1" t="s">
        <v>132</v>
      </c>
      <c r="J523" s="24">
        <v>1.87</v>
      </c>
      <c r="K523" s="24">
        <v>8.1199999999999992</v>
      </c>
      <c r="L523" s="28">
        <v>6.2499999999999991</v>
      </c>
      <c r="M523" s="1">
        <v>4</v>
      </c>
      <c r="N523" s="28">
        <v>32.479999999999997</v>
      </c>
      <c r="O523" s="29">
        <v>7.0000000000000007E-2</v>
      </c>
      <c r="P523" s="28">
        <v>2.2736000000000001</v>
      </c>
      <c r="Q523" s="28">
        <v>30.206399999999999</v>
      </c>
      <c r="R523" s="1" t="str">
        <f t="shared" si="48"/>
        <v>Sep</v>
      </c>
      <c r="S523" s="28">
        <f t="shared" si="52"/>
        <v>7.48</v>
      </c>
      <c r="T523" s="28">
        <f t="shared" si="53"/>
        <v>22.726399999999998</v>
      </c>
      <c r="U523" s="11">
        <f t="shared" si="49"/>
        <v>0.75237035859950208</v>
      </c>
      <c r="V523" s="1" t="str">
        <f t="shared" si="50"/>
        <v>Very Slow</v>
      </c>
      <c r="W523" s="1" t="str">
        <f t="shared" si="51"/>
        <v>OK</v>
      </c>
    </row>
    <row r="524" spans="1:23">
      <c r="A524" s="1">
        <v>57142</v>
      </c>
      <c r="B524" s="10">
        <v>45905</v>
      </c>
      <c r="C524" s="1">
        <v>3</v>
      </c>
      <c r="D524" s="1" t="s">
        <v>57</v>
      </c>
      <c r="E524" s="1" t="s">
        <v>87</v>
      </c>
      <c r="F524" s="1" t="s">
        <v>73</v>
      </c>
      <c r="G524" s="1" t="s">
        <v>81</v>
      </c>
      <c r="H524" s="1" t="s">
        <v>90</v>
      </c>
      <c r="I524" s="1" t="s">
        <v>92</v>
      </c>
      <c r="J524" s="24">
        <v>32.020000000000003</v>
      </c>
      <c r="K524" s="24">
        <v>152.47999999999999</v>
      </c>
      <c r="L524" s="28">
        <v>120.46</v>
      </c>
      <c r="M524" s="1">
        <v>3</v>
      </c>
      <c r="N524" s="28">
        <v>457.43999999999988</v>
      </c>
      <c r="O524" s="29">
        <v>0.03</v>
      </c>
      <c r="P524" s="28">
        <v>13.7232</v>
      </c>
      <c r="Q524" s="28">
        <v>443.71679999999992</v>
      </c>
      <c r="R524" s="1" t="str">
        <f t="shared" si="48"/>
        <v>Sep</v>
      </c>
      <c r="S524" s="28">
        <f t="shared" si="52"/>
        <v>96.06</v>
      </c>
      <c r="T524" s="28">
        <f t="shared" si="53"/>
        <v>347.65679999999992</v>
      </c>
      <c r="U524" s="11">
        <f t="shared" si="49"/>
        <v>0.78351056349455328</v>
      </c>
      <c r="V524" s="1" t="str">
        <f t="shared" si="50"/>
        <v>Fast</v>
      </c>
      <c r="W524" s="1" t="str">
        <f t="shared" si="51"/>
        <v>OK</v>
      </c>
    </row>
    <row r="525" spans="1:23">
      <c r="A525" s="1">
        <v>57143</v>
      </c>
      <c r="B525" s="10">
        <v>45905</v>
      </c>
      <c r="C525" s="1">
        <v>7</v>
      </c>
      <c r="D525" s="1" t="s">
        <v>57</v>
      </c>
      <c r="E525" s="1" t="s">
        <v>87</v>
      </c>
      <c r="F525" s="1" t="s">
        <v>100</v>
      </c>
      <c r="G525" s="1" t="s">
        <v>60</v>
      </c>
      <c r="H525" s="1" t="s">
        <v>90</v>
      </c>
      <c r="I525" s="1" t="s">
        <v>178</v>
      </c>
      <c r="J525" s="24">
        <v>2.41</v>
      </c>
      <c r="K525" s="24">
        <v>3.71</v>
      </c>
      <c r="L525" s="28">
        <v>1.3</v>
      </c>
      <c r="M525" s="1">
        <v>13</v>
      </c>
      <c r="N525" s="28">
        <v>48.23</v>
      </c>
      <c r="O525" s="29">
        <v>0.06</v>
      </c>
      <c r="P525" s="28">
        <v>2.8938000000000001</v>
      </c>
      <c r="Q525" s="28">
        <v>45.336199999999998</v>
      </c>
      <c r="R525" s="1" t="str">
        <f t="shared" si="48"/>
        <v>Sep</v>
      </c>
      <c r="S525" s="28">
        <f t="shared" si="52"/>
        <v>31.330000000000002</v>
      </c>
      <c r="T525" s="28">
        <f t="shared" si="53"/>
        <v>14.006199999999996</v>
      </c>
      <c r="U525" s="11">
        <f t="shared" si="49"/>
        <v>0.30894075815793992</v>
      </c>
      <c r="V525" s="1" t="str">
        <f t="shared" si="50"/>
        <v>Standard</v>
      </c>
      <c r="W525" s="1" t="str">
        <f t="shared" si="51"/>
        <v>OK</v>
      </c>
    </row>
    <row r="526" spans="1:23">
      <c r="A526" s="1">
        <v>57144</v>
      </c>
      <c r="B526" s="10">
        <v>45906</v>
      </c>
      <c r="C526" s="1">
        <v>14</v>
      </c>
      <c r="D526" s="1" t="s">
        <v>57</v>
      </c>
      <c r="E526" s="1" t="s">
        <v>58</v>
      </c>
      <c r="F526" s="1" t="s">
        <v>79</v>
      </c>
      <c r="G526" s="1" t="s">
        <v>60</v>
      </c>
      <c r="H526" s="1" t="s">
        <v>61</v>
      </c>
      <c r="I526" s="1" t="s">
        <v>129</v>
      </c>
      <c r="J526" s="24">
        <v>0.93</v>
      </c>
      <c r="K526" s="24">
        <v>1.6</v>
      </c>
      <c r="L526" s="28">
        <v>0.67</v>
      </c>
      <c r="M526" s="1">
        <v>41</v>
      </c>
      <c r="N526" s="28">
        <v>65.600000000000009</v>
      </c>
      <c r="O526" s="29">
        <v>0.1</v>
      </c>
      <c r="P526" s="28">
        <v>6.5600000000000014</v>
      </c>
      <c r="Q526" s="28">
        <v>59.040000000000013</v>
      </c>
      <c r="R526" s="1" t="str">
        <f t="shared" si="48"/>
        <v>Sep</v>
      </c>
      <c r="S526" s="28">
        <f t="shared" si="52"/>
        <v>38.130000000000003</v>
      </c>
      <c r="T526" s="28">
        <f t="shared" si="53"/>
        <v>20.910000000000011</v>
      </c>
      <c r="U526" s="11">
        <f t="shared" si="49"/>
        <v>0.3541666666666668</v>
      </c>
      <c r="V526" s="1" t="str">
        <f t="shared" si="50"/>
        <v>Slow</v>
      </c>
      <c r="W526" s="1" t="str">
        <f t="shared" si="51"/>
        <v>OK</v>
      </c>
    </row>
    <row r="527" spans="1:23">
      <c r="A527" s="1">
        <v>57145</v>
      </c>
      <c r="B527" s="10">
        <v>45906</v>
      </c>
      <c r="C527" s="1">
        <v>22</v>
      </c>
      <c r="D527" s="1" t="s">
        <v>57</v>
      </c>
      <c r="E527" s="1" t="s">
        <v>72</v>
      </c>
      <c r="F527" s="1" t="s">
        <v>79</v>
      </c>
      <c r="G527" s="1" t="s">
        <v>60</v>
      </c>
      <c r="H527" s="1" t="s">
        <v>90</v>
      </c>
      <c r="I527" s="1" t="s">
        <v>205</v>
      </c>
      <c r="J527" s="24">
        <v>2.5</v>
      </c>
      <c r="K527" s="24">
        <v>5.68</v>
      </c>
      <c r="L527" s="28">
        <v>3.18</v>
      </c>
      <c r="M527" s="1">
        <v>21</v>
      </c>
      <c r="N527" s="28">
        <v>119.28</v>
      </c>
      <c r="O527" s="29">
        <v>7.0000000000000007E-2</v>
      </c>
      <c r="P527" s="28">
        <v>8.3496000000000006</v>
      </c>
      <c r="Q527" s="28">
        <v>110.93040000000001</v>
      </c>
      <c r="R527" s="1" t="str">
        <f t="shared" si="48"/>
        <v>Sep</v>
      </c>
      <c r="S527" s="28">
        <f t="shared" si="52"/>
        <v>52.5</v>
      </c>
      <c r="T527" s="28">
        <f t="shared" si="53"/>
        <v>58.430400000000006</v>
      </c>
      <c r="U527" s="11">
        <f t="shared" si="49"/>
        <v>0.52673027411782525</v>
      </c>
      <c r="V527" s="1" t="str">
        <f t="shared" si="50"/>
        <v>Very Slow</v>
      </c>
      <c r="W527" s="1" t="str">
        <f t="shared" si="51"/>
        <v>OK</v>
      </c>
    </row>
    <row r="528" spans="1:23">
      <c r="A528" s="1">
        <v>57146</v>
      </c>
      <c r="B528" s="10">
        <v>45906</v>
      </c>
      <c r="C528" s="1">
        <v>16</v>
      </c>
      <c r="D528" s="1" t="s">
        <v>57</v>
      </c>
      <c r="E528" s="1" t="s">
        <v>72</v>
      </c>
      <c r="F528" s="1" t="s">
        <v>64</v>
      </c>
      <c r="G528" s="1" t="s">
        <v>60</v>
      </c>
      <c r="H528" s="1" t="s">
        <v>90</v>
      </c>
      <c r="I528" s="1" t="s">
        <v>187</v>
      </c>
      <c r="J528" s="24">
        <v>2.2599999999999998</v>
      </c>
      <c r="K528" s="24">
        <v>3.58</v>
      </c>
      <c r="L528" s="28">
        <v>1.32</v>
      </c>
      <c r="M528" s="1">
        <v>42</v>
      </c>
      <c r="N528" s="28">
        <v>150.36000000000001</v>
      </c>
      <c r="O528" s="29">
        <v>0.08</v>
      </c>
      <c r="P528" s="28">
        <v>12.0288</v>
      </c>
      <c r="Q528" s="28">
        <v>138.3312</v>
      </c>
      <c r="R528" s="1" t="str">
        <f t="shared" si="48"/>
        <v>Sep</v>
      </c>
      <c r="S528" s="28">
        <f t="shared" si="52"/>
        <v>94.919999999999987</v>
      </c>
      <c r="T528" s="28">
        <f t="shared" si="53"/>
        <v>43.411200000000008</v>
      </c>
      <c r="U528" s="11">
        <f t="shared" si="49"/>
        <v>0.31382074325965514</v>
      </c>
      <c r="V528" s="1" t="str">
        <f t="shared" si="50"/>
        <v>Very Slow</v>
      </c>
      <c r="W528" s="1" t="str">
        <f t="shared" si="51"/>
        <v>OK</v>
      </c>
    </row>
    <row r="529" spans="1:23">
      <c r="A529" s="1">
        <v>57147</v>
      </c>
      <c r="B529" s="10">
        <v>45906</v>
      </c>
      <c r="C529" s="1">
        <v>23</v>
      </c>
      <c r="D529" s="1" t="s">
        <v>63</v>
      </c>
      <c r="E529" s="1" t="s">
        <v>87</v>
      </c>
      <c r="F529" s="1" t="s">
        <v>75</v>
      </c>
      <c r="G529" s="1" t="s">
        <v>60</v>
      </c>
      <c r="H529" s="1" t="s">
        <v>90</v>
      </c>
      <c r="I529" s="1" t="s">
        <v>219</v>
      </c>
      <c r="J529" s="24">
        <v>2.76</v>
      </c>
      <c r="K529" s="24">
        <v>4.38</v>
      </c>
      <c r="L529" s="28">
        <v>1.62</v>
      </c>
      <c r="M529" s="1">
        <v>17</v>
      </c>
      <c r="N529" s="28">
        <v>74.459999999999994</v>
      </c>
      <c r="O529" s="29">
        <v>0.03</v>
      </c>
      <c r="P529" s="28">
        <v>2.2338</v>
      </c>
      <c r="Q529" s="28">
        <v>72.226199999999992</v>
      </c>
      <c r="R529" s="1" t="str">
        <f t="shared" si="48"/>
        <v>Sep</v>
      </c>
      <c r="S529" s="28">
        <f t="shared" si="52"/>
        <v>46.919999999999995</v>
      </c>
      <c r="T529" s="28">
        <f t="shared" si="53"/>
        <v>25.306199999999997</v>
      </c>
      <c r="U529" s="11">
        <f t="shared" si="49"/>
        <v>0.35037424092642283</v>
      </c>
      <c r="V529" s="1" t="str">
        <f t="shared" si="50"/>
        <v>Very Slow</v>
      </c>
      <c r="W529" s="1" t="str">
        <f t="shared" si="51"/>
        <v>OK</v>
      </c>
    </row>
    <row r="530" spans="1:23">
      <c r="A530" s="1">
        <v>57148</v>
      </c>
      <c r="B530" s="10">
        <v>45907</v>
      </c>
      <c r="C530" s="1">
        <v>15</v>
      </c>
      <c r="D530" s="1" t="s">
        <v>78</v>
      </c>
      <c r="E530" s="1" t="s">
        <v>87</v>
      </c>
      <c r="F530" s="1" t="s">
        <v>59</v>
      </c>
      <c r="G530" s="1" t="s">
        <v>60</v>
      </c>
      <c r="H530" s="1" t="s">
        <v>68</v>
      </c>
      <c r="I530" s="1" t="s">
        <v>112</v>
      </c>
      <c r="J530" s="24">
        <v>3.5</v>
      </c>
      <c r="K530" s="24">
        <v>5.74</v>
      </c>
      <c r="L530" s="28">
        <v>2.2400000000000002</v>
      </c>
      <c r="M530" s="1">
        <v>46</v>
      </c>
      <c r="N530" s="28">
        <v>264.04000000000002</v>
      </c>
      <c r="O530" s="29">
        <v>0.08</v>
      </c>
      <c r="P530" s="28">
        <v>21.123200000000001</v>
      </c>
      <c r="Q530" s="28">
        <v>242.91679999999999</v>
      </c>
      <c r="R530" s="1" t="str">
        <f t="shared" si="48"/>
        <v>Sep</v>
      </c>
      <c r="S530" s="28">
        <f t="shared" si="52"/>
        <v>161</v>
      </c>
      <c r="T530" s="28">
        <f t="shared" si="53"/>
        <v>81.916799999999995</v>
      </c>
      <c r="U530" s="11">
        <f t="shared" si="49"/>
        <v>0.33722163308589609</v>
      </c>
      <c r="V530" s="1" t="str">
        <f t="shared" si="50"/>
        <v>Very Slow</v>
      </c>
      <c r="W530" s="1" t="str">
        <f t="shared" si="51"/>
        <v>OK</v>
      </c>
    </row>
    <row r="531" spans="1:23">
      <c r="A531" s="1">
        <v>57149</v>
      </c>
      <c r="B531" s="10">
        <v>45907</v>
      </c>
      <c r="C531" s="1">
        <v>7</v>
      </c>
      <c r="D531" s="1" t="s">
        <v>57</v>
      </c>
      <c r="E531" s="1" t="s">
        <v>72</v>
      </c>
      <c r="F531" s="1" t="s">
        <v>75</v>
      </c>
      <c r="G531" s="1" t="s">
        <v>60</v>
      </c>
      <c r="H531" s="1" t="s">
        <v>70</v>
      </c>
      <c r="I531" s="1" t="s">
        <v>145</v>
      </c>
      <c r="J531" s="24">
        <v>0.92</v>
      </c>
      <c r="K531" s="24">
        <v>1.81</v>
      </c>
      <c r="L531" s="28">
        <v>0.89</v>
      </c>
      <c r="M531" s="1">
        <v>9</v>
      </c>
      <c r="N531" s="28">
        <v>16.29</v>
      </c>
      <c r="O531" s="29">
        <v>0.05</v>
      </c>
      <c r="P531" s="28">
        <v>0.8145</v>
      </c>
      <c r="Q531" s="28">
        <v>15.4755</v>
      </c>
      <c r="R531" s="1" t="str">
        <f t="shared" si="48"/>
        <v>Sep</v>
      </c>
      <c r="S531" s="28">
        <f t="shared" si="52"/>
        <v>8.2800000000000011</v>
      </c>
      <c r="T531" s="28">
        <f t="shared" si="53"/>
        <v>7.1954999999999991</v>
      </c>
      <c r="U531" s="11">
        <f t="shared" si="49"/>
        <v>0.46496074440244251</v>
      </c>
      <c r="V531" s="1" t="str">
        <f t="shared" si="50"/>
        <v>Standard</v>
      </c>
      <c r="W531" s="1" t="str">
        <f t="shared" si="51"/>
        <v>OK</v>
      </c>
    </row>
    <row r="532" spans="1:23">
      <c r="A532" s="1">
        <v>57150</v>
      </c>
      <c r="B532" s="10">
        <v>45907</v>
      </c>
      <c r="C532" s="1">
        <v>4</v>
      </c>
      <c r="D532" s="1" t="s">
        <v>78</v>
      </c>
      <c r="E532" s="1" t="s">
        <v>87</v>
      </c>
      <c r="F532" s="1" t="s">
        <v>75</v>
      </c>
      <c r="G532" s="1" t="s">
        <v>60</v>
      </c>
      <c r="H532" s="1" t="s">
        <v>70</v>
      </c>
      <c r="I532" s="1" t="s">
        <v>223</v>
      </c>
      <c r="J532" s="24">
        <v>1.9</v>
      </c>
      <c r="K532" s="24">
        <v>3.28</v>
      </c>
      <c r="L532" s="28">
        <v>1.38</v>
      </c>
      <c r="M532" s="1">
        <v>49</v>
      </c>
      <c r="N532" s="28">
        <v>160.72</v>
      </c>
      <c r="O532" s="29">
        <v>0.05</v>
      </c>
      <c r="P532" s="28">
        <v>8.0359999999999996</v>
      </c>
      <c r="Q532" s="28">
        <v>152.684</v>
      </c>
      <c r="R532" s="1" t="str">
        <f t="shared" si="48"/>
        <v>Sep</v>
      </c>
      <c r="S532" s="28">
        <f t="shared" si="52"/>
        <v>93.1</v>
      </c>
      <c r="T532" s="28">
        <f t="shared" si="53"/>
        <v>59.584000000000003</v>
      </c>
      <c r="U532" s="11">
        <f t="shared" si="49"/>
        <v>0.3902439024390244</v>
      </c>
      <c r="V532" s="1" t="str">
        <f t="shared" si="50"/>
        <v>Standard</v>
      </c>
      <c r="W532" s="1" t="str">
        <f t="shared" si="51"/>
        <v>OK</v>
      </c>
    </row>
    <row r="533" spans="1:23">
      <c r="A533" s="1">
        <v>57151</v>
      </c>
      <c r="B533" s="10">
        <v>45907</v>
      </c>
      <c r="C533" s="1">
        <v>11</v>
      </c>
      <c r="D533" s="1" t="s">
        <v>78</v>
      </c>
      <c r="E533" s="1" t="s">
        <v>72</v>
      </c>
      <c r="F533" s="1" t="s">
        <v>84</v>
      </c>
      <c r="G533" s="1" t="s">
        <v>60</v>
      </c>
      <c r="H533" s="1" t="s">
        <v>68</v>
      </c>
      <c r="I533" s="1" t="s">
        <v>121</v>
      </c>
      <c r="J533" s="24">
        <v>1.84</v>
      </c>
      <c r="K533" s="24">
        <v>2.88</v>
      </c>
      <c r="L533" s="28">
        <v>1.04</v>
      </c>
      <c r="M533" s="1">
        <v>10</v>
      </c>
      <c r="N533" s="28">
        <v>28.8</v>
      </c>
      <c r="O533" s="29">
        <v>0.01</v>
      </c>
      <c r="P533" s="28">
        <v>0.28799999999999998</v>
      </c>
      <c r="Q533" s="28">
        <v>28.512</v>
      </c>
      <c r="R533" s="1" t="str">
        <f t="shared" si="48"/>
        <v>Sep</v>
      </c>
      <c r="S533" s="28">
        <f t="shared" si="52"/>
        <v>18.400000000000002</v>
      </c>
      <c r="T533" s="28">
        <f t="shared" si="53"/>
        <v>10.111999999999998</v>
      </c>
      <c r="U533" s="11">
        <f t="shared" si="49"/>
        <v>0.35465768799102126</v>
      </c>
      <c r="V533" s="1" t="str">
        <f t="shared" si="50"/>
        <v>Slow</v>
      </c>
      <c r="W533" s="1" t="str">
        <f t="shared" si="51"/>
        <v>OK</v>
      </c>
    </row>
    <row r="534" spans="1:23">
      <c r="A534" s="1">
        <v>57152</v>
      </c>
      <c r="B534" s="10">
        <v>45908</v>
      </c>
      <c r="C534" s="1">
        <v>12</v>
      </c>
      <c r="D534" s="1" t="s">
        <v>57</v>
      </c>
      <c r="E534" s="1" t="s">
        <v>58</v>
      </c>
      <c r="F534" s="1" t="s">
        <v>18</v>
      </c>
      <c r="G534" s="1" t="s">
        <v>60</v>
      </c>
      <c r="H534" s="1" t="s">
        <v>65</v>
      </c>
      <c r="I534" s="1" t="s">
        <v>158</v>
      </c>
      <c r="J534" s="24">
        <v>4.0999999999999996</v>
      </c>
      <c r="K534" s="24">
        <v>9.31</v>
      </c>
      <c r="L534" s="28">
        <v>5.2100000000000009</v>
      </c>
      <c r="M534" s="1">
        <v>24</v>
      </c>
      <c r="N534" s="28">
        <v>223.44</v>
      </c>
      <c r="O534" s="29">
        <v>0.06</v>
      </c>
      <c r="P534" s="28">
        <v>13.4064</v>
      </c>
      <c r="Q534" s="28">
        <v>210.03360000000001</v>
      </c>
      <c r="R534" s="1" t="str">
        <f t="shared" si="48"/>
        <v>Sep</v>
      </c>
      <c r="S534" s="28">
        <f t="shared" si="52"/>
        <v>98.399999999999991</v>
      </c>
      <c r="T534" s="28">
        <f t="shared" si="53"/>
        <v>111.63360000000002</v>
      </c>
      <c r="U534" s="11">
        <f t="shared" si="49"/>
        <v>0.53150353086363333</v>
      </c>
      <c r="V534" s="1" t="str">
        <f t="shared" si="50"/>
        <v>Slow</v>
      </c>
      <c r="W534" s="1" t="str">
        <f t="shared" si="51"/>
        <v>OK</v>
      </c>
    </row>
    <row r="535" spans="1:23">
      <c r="A535" s="1">
        <v>57153</v>
      </c>
      <c r="B535" s="10">
        <v>45911</v>
      </c>
      <c r="C535" s="1">
        <v>17</v>
      </c>
      <c r="D535" s="1" t="s">
        <v>63</v>
      </c>
      <c r="E535" s="1" t="s">
        <v>67</v>
      </c>
      <c r="F535" s="1" t="s">
        <v>73</v>
      </c>
      <c r="G535" s="1" t="s">
        <v>81</v>
      </c>
      <c r="H535" s="1" t="s">
        <v>70</v>
      </c>
      <c r="I535" s="1" t="s">
        <v>92</v>
      </c>
      <c r="J535" s="24">
        <v>32.020000000000003</v>
      </c>
      <c r="K535" s="24">
        <v>152.47999999999999</v>
      </c>
      <c r="L535" s="28">
        <v>120.46</v>
      </c>
      <c r="M535" s="1">
        <v>12</v>
      </c>
      <c r="N535" s="28">
        <v>1829.76</v>
      </c>
      <c r="O535" s="29">
        <v>0.03</v>
      </c>
      <c r="P535" s="28">
        <v>54.892799999999987</v>
      </c>
      <c r="Q535" s="28">
        <v>1774.8671999999999</v>
      </c>
      <c r="R535" s="1" t="str">
        <f t="shared" si="48"/>
        <v>Sep</v>
      </c>
      <c r="S535" s="28">
        <f t="shared" si="52"/>
        <v>384.24</v>
      </c>
      <c r="T535" s="28">
        <f t="shared" si="53"/>
        <v>1390.6271999999999</v>
      </c>
      <c r="U535" s="11">
        <f t="shared" si="49"/>
        <v>0.78351056349455328</v>
      </c>
      <c r="V535" s="1" t="str">
        <f t="shared" si="50"/>
        <v>Very Slow</v>
      </c>
      <c r="W535" s="1" t="str">
        <f t="shared" si="51"/>
        <v>OK</v>
      </c>
    </row>
    <row r="536" spans="1:23">
      <c r="A536" s="1">
        <v>57154</v>
      </c>
      <c r="B536" s="10">
        <v>45911</v>
      </c>
      <c r="C536" s="1">
        <v>21</v>
      </c>
      <c r="D536" s="1" t="s">
        <v>57</v>
      </c>
      <c r="E536" s="1" t="s">
        <v>72</v>
      </c>
      <c r="F536" s="1" t="s">
        <v>73</v>
      </c>
      <c r="G536" s="1" t="s">
        <v>60</v>
      </c>
      <c r="H536" s="1" t="s">
        <v>61</v>
      </c>
      <c r="I536" s="1" t="s">
        <v>118</v>
      </c>
      <c r="J536" s="24">
        <v>3.32</v>
      </c>
      <c r="K536" s="24">
        <v>5.18</v>
      </c>
      <c r="L536" s="28">
        <v>1.86</v>
      </c>
      <c r="M536" s="1">
        <v>2</v>
      </c>
      <c r="N536" s="28">
        <v>10.36</v>
      </c>
      <c r="O536" s="29">
        <v>0</v>
      </c>
      <c r="P536" s="28">
        <v>0</v>
      </c>
      <c r="Q536" s="28">
        <v>10.36</v>
      </c>
      <c r="R536" s="1" t="str">
        <f t="shared" si="48"/>
        <v>Sep</v>
      </c>
      <c r="S536" s="28">
        <f t="shared" si="52"/>
        <v>6.64</v>
      </c>
      <c r="T536" s="28">
        <f t="shared" si="53"/>
        <v>3.7199999999999998</v>
      </c>
      <c r="U536" s="11">
        <f t="shared" si="49"/>
        <v>0.35907335907335908</v>
      </c>
      <c r="V536" s="1" t="str">
        <f t="shared" si="50"/>
        <v>Very Slow</v>
      </c>
      <c r="W536" s="1" t="str">
        <f t="shared" si="51"/>
        <v>OK</v>
      </c>
    </row>
    <row r="537" spans="1:23">
      <c r="A537" s="1">
        <v>57155</v>
      </c>
      <c r="B537" s="10">
        <v>45911</v>
      </c>
      <c r="C537" s="1">
        <v>4</v>
      </c>
      <c r="D537" s="1" t="s">
        <v>63</v>
      </c>
      <c r="E537" s="1" t="s">
        <v>58</v>
      </c>
      <c r="F537" s="1" t="s">
        <v>59</v>
      </c>
      <c r="G537" s="1" t="s">
        <v>60</v>
      </c>
      <c r="H537" s="1" t="s">
        <v>65</v>
      </c>
      <c r="I537" s="1" t="s">
        <v>123</v>
      </c>
      <c r="J537" s="24">
        <v>1.18</v>
      </c>
      <c r="K537" s="24">
        <v>1.88</v>
      </c>
      <c r="L537" s="28">
        <v>0.7</v>
      </c>
      <c r="M537" s="1">
        <v>8</v>
      </c>
      <c r="N537" s="28">
        <v>15.04</v>
      </c>
      <c r="O537" s="29">
        <v>0.05</v>
      </c>
      <c r="P537" s="28">
        <v>0.752</v>
      </c>
      <c r="Q537" s="28">
        <v>14.288</v>
      </c>
      <c r="R537" s="1" t="str">
        <f t="shared" si="48"/>
        <v>Sep</v>
      </c>
      <c r="S537" s="28">
        <f t="shared" si="52"/>
        <v>9.44</v>
      </c>
      <c r="T537" s="28">
        <f t="shared" si="53"/>
        <v>4.8480000000000008</v>
      </c>
      <c r="U537" s="11">
        <f t="shared" si="49"/>
        <v>0.33930571108622626</v>
      </c>
      <c r="V537" s="1" t="str">
        <f t="shared" si="50"/>
        <v>Standard</v>
      </c>
      <c r="W537" s="1" t="str">
        <f t="shared" si="51"/>
        <v>OK</v>
      </c>
    </row>
    <row r="538" spans="1:23">
      <c r="A538" s="1">
        <v>57156</v>
      </c>
      <c r="B538" s="10">
        <v>45911</v>
      </c>
      <c r="C538" s="1">
        <v>16</v>
      </c>
      <c r="D538" s="1" t="s">
        <v>57</v>
      </c>
      <c r="E538" s="1" t="s">
        <v>72</v>
      </c>
      <c r="F538" s="1" t="s">
        <v>84</v>
      </c>
      <c r="G538" s="1" t="s">
        <v>60</v>
      </c>
      <c r="H538" s="1" t="s">
        <v>70</v>
      </c>
      <c r="I538" s="1" t="s">
        <v>217</v>
      </c>
      <c r="J538" s="24">
        <v>1.33</v>
      </c>
      <c r="K538" s="24">
        <v>2.08</v>
      </c>
      <c r="L538" s="28">
        <v>0.75</v>
      </c>
      <c r="M538" s="1">
        <v>20</v>
      </c>
      <c r="N538" s="28">
        <v>41.6</v>
      </c>
      <c r="O538" s="29">
        <v>0.04</v>
      </c>
      <c r="P538" s="28">
        <v>1.6639999999999999</v>
      </c>
      <c r="Q538" s="28">
        <v>39.936</v>
      </c>
      <c r="R538" s="1" t="str">
        <f t="shared" si="48"/>
        <v>Sep</v>
      </c>
      <c r="S538" s="28">
        <f t="shared" si="52"/>
        <v>26.6</v>
      </c>
      <c r="T538" s="28">
        <f t="shared" si="53"/>
        <v>13.335999999999999</v>
      </c>
      <c r="U538" s="11">
        <f t="shared" si="49"/>
        <v>0.33393429487179482</v>
      </c>
      <c r="V538" s="1" t="str">
        <f t="shared" si="50"/>
        <v>Very Slow</v>
      </c>
      <c r="W538" s="1" t="str">
        <f t="shared" si="51"/>
        <v>OK</v>
      </c>
    </row>
    <row r="539" spans="1:23">
      <c r="A539" s="1">
        <v>57157</v>
      </c>
      <c r="B539" s="10">
        <v>45912</v>
      </c>
      <c r="C539" s="1">
        <v>1</v>
      </c>
      <c r="D539" s="1" t="s">
        <v>78</v>
      </c>
      <c r="E539" s="1" t="s">
        <v>87</v>
      </c>
      <c r="F539" s="1" t="s">
        <v>73</v>
      </c>
      <c r="G539" s="1" t="s">
        <v>60</v>
      </c>
      <c r="H539" s="1" t="s">
        <v>90</v>
      </c>
      <c r="I539" s="1" t="s">
        <v>182</v>
      </c>
      <c r="J539" s="24">
        <v>1.19</v>
      </c>
      <c r="K539" s="24">
        <v>1.98</v>
      </c>
      <c r="L539" s="28">
        <v>0.79</v>
      </c>
      <c r="M539" s="1">
        <v>19</v>
      </c>
      <c r="N539" s="28">
        <v>37.619999999999997</v>
      </c>
      <c r="O539" s="29">
        <v>0.01</v>
      </c>
      <c r="P539" s="28">
        <v>0.37619999999999998</v>
      </c>
      <c r="Q539" s="28">
        <v>37.2438</v>
      </c>
      <c r="R539" s="1" t="str">
        <f t="shared" si="48"/>
        <v>Sep</v>
      </c>
      <c r="S539" s="28">
        <f t="shared" si="52"/>
        <v>22.61</v>
      </c>
      <c r="T539" s="28">
        <f t="shared" si="53"/>
        <v>14.633800000000001</v>
      </c>
      <c r="U539" s="11">
        <f t="shared" si="49"/>
        <v>0.39291908988878688</v>
      </c>
      <c r="V539" s="1" t="str">
        <f t="shared" si="50"/>
        <v>Fast</v>
      </c>
      <c r="W539" s="1" t="str">
        <f t="shared" si="51"/>
        <v>OK</v>
      </c>
    </row>
    <row r="540" spans="1:23">
      <c r="A540" s="1">
        <v>57158</v>
      </c>
      <c r="B540" s="10">
        <v>45912</v>
      </c>
      <c r="C540" s="1">
        <v>10</v>
      </c>
      <c r="D540" s="1" t="s">
        <v>63</v>
      </c>
      <c r="E540" s="1" t="s">
        <v>67</v>
      </c>
      <c r="F540" s="1" t="s">
        <v>100</v>
      </c>
      <c r="G540" s="1" t="s">
        <v>60</v>
      </c>
      <c r="H540" s="1" t="s">
        <v>90</v>
      </c>
      <c r="I540" s="1" t="s">
        <v>89</v>
      </c>
      <c r="J540" s="24">
        <v>1.76</v>
      </c>
      <c r="K540" s="24">
        <v>2.94</v>
      </c>
      <c r="L540" s="28">
        <v>1.18</v>
      </c>
      <c r="M540" s="1">
        <v>41</v>
      </c>
      <c r="N540" s="28">
        <v>120.54</v>
      </c>
      <c r="O540" s="29">
        <v>0.09</v>
      </c>
      <c r="P540" s="28">
        <v>10.848599999999999</v>
      </c>
      <c r="Q540" s="28">
        <v>109.6914</v>
      </c>
      <c r="R540" s="1" t="str">
        <f t="shared" si="48"/>
        <v>Sep</v>
      </c>
      <c r="S540" s="28">
        <f t="shared" si="52"/>
        <v>72.16</v>
      </c>
      <c r="T540" s="28">
        <f t="shared" si="53"/>
        <v>37.531400000000005</v>
      </c>
      <c r="U540" s="11">
        <f t="shared" si="49"/>
        <v>0.34215444419526059</v>
      </c>
      <c r="V540" s="1" t="str">
        <f t="shared" si="50"/>
        <v>Slow</v>
      </c>
      <c r="W540" s="1" t="str">
        <f t="shared" si="51"/>
        <v>OK</v>
      </c>
    </row>
    <row r="541" spans="1:23">
      <c r="A541" s="1">
        <v>57159</v>
      </c>
      <c r="B541" s="10">
        <v>45913</v>
      </c>
      <c r="C541" s="1">
        <v>2</v>
      </c>
      <c r="D541" s="1" t="s">
        <v>63</v>
      </c>
      <c r="E541" s="1" t="s">
        <v>58</v>
      </c>
      <c r="F541" s="1" t="s">
        <v>64</v>
      </c>
      <c r="G541" s="1" t="s">
        <v>60</v>
      </c>
      <c r="H541" s="1" t="s">
        <v>90</v>
      </c>
      <c r="I541" s="1" t="s">
        <v>218</v>
      </c>
      <c r="J541" s="24">
        <v>1.88</v>
      </c>
      <c r="K541" s="24">
        <v>3.14</v>
      </c>
      <c r="L541" s="28">
        <v>1.26</v>
      </c>
      <c r="M541" s="1">
        <v>41</v>
      </c>
      <c r="N541" s="28">
        <v>128.74</v>
      </c>
      <c r="O541" s="29">
        <v>7.0000000000000007E-2</v>
      </c>
      <c r="P541" s="28">
        <v>9.0118000000000009</v>
      </c>
      <c r="Q541" s="28">
        <v>119.7282</v>
      </c>
      <c r="R541" s="1" t="str">
        <f t="shared" si="48"/>
        <v>Sep</v>
      </c>
      <c r="S541" s="28">
        <f t="shared" si="52"/>
        <v>77.08</v>
      </c>
      <c r="T541" s="28">
        <f t="shared" si="53"/>
        <v>42.648200000000003</v>
      </c>
      <c r="U541" s="11">
        <f t="shared" si="49"/>
        <v>0.35620847887131019</v>
      </c>
      <c r="V541" s="1" t="str">
        <f t="shared" si="50"/>
        <v>Fast</v>
      </c>
      <c r="W541" s="1" t="str">
        <f t="shared" si="51"/>
        <v>OK</v>
      </c>
    </row>
    <row r="542" spans="1:23">
      <c r="A542" s="1">
        <v>57160</v>
      </c>
      <c r="B542" s="10">
        <v>45913</v>
      </c>
      <c r="C542" s="1">
        <v>5</v>
      </c>
      <c r="D542" s="1" t="s">
        <v>78</v>
      </c>
      <c r="E542" s="1" t="s">
        <v>72</v>
      </c>
      <c r="F542" s="1" t="s">
        <v>64</v>
      </c>
      <c r="G542" s="1" t="s">
        <v>60</v>
      </c>
      <c r="H542" s="1" t="s">
        <v>90</v>
      </c>
      <c r="I542" s="1" t="s">
        <v>208</v>
      </c>
      <c r="J542" s="24">
        <v>1.46</v>
      </c>
      <c r="K542" s="24">
        <v>3.57</v>
      </c>
      <c r="L542" s="28">
        <v>2.11</v>
      </c>
      <c r="M542" s="1">
        <v>23</v>
      </c>
      <c r="N542" s="28">
        <v>82.11</v>
      </c>
      <c r="O542" s="29">
        <v>0.08</v>
      </c>
      <c r="P542" s="28">
        <v>6.5688000000000004</v>
      </c>
      <c r="Q542" s="28">
        <v>75.541200000000003</v>
      </c>
      <c r="R542" s="1" t="str">
        <f t="shared" si="48"/>
        <v>Sep</v>
      </c>
      <c r="S542" s="28">
        <f t="shared" si="52"/>
        <v>33.58</v>
      </c>
      <c r="T542" s="28">
        <f t="shared" si="53"/>
        <v>41.961200000000005</v>
      </c>
      <c r="U542" s="11">
        <f t="shared" si="49"/>
        <v>0.55547436365850689</v>
      </c>
      <c r="V542" s="1" t="str">
        <f t="shared" si="50"/>
        <v>Standard</v>
      </c>
      <c r="W542" s="1" t="str">
        <f t="shared" si="51"/>
        <v>OK</v>
      </c>
    </row>
    <row r="543" spans="1:23">
      <c r="A543" s="1">
        <v>57161</v>
      </c>
      <c r="B543" s="10">
        <v>45913</v>
      </c>
      <c r="C543" s="1">
        <v>13</v>
      </c>
      <c r="D543" s="1" t="s">
        <v>78</v>
      </c>
      <c r="E543" s="1" t="s">
        <v>67</v>
      </c>
      <c r="F543" s="1" t="s">
        <v>64</v>
      </c>
      <c r="G543" s="1" t="s">
        <v>60</v>
      </c>
      <c r="H543" s="1" t="s">
        <v>65</v>
      </c>
      <c r="I543" s="1" t="s">
        <v>224</v>
      </c>
      <c r="J543" s="24">
        <v>1.98</v>
      </c>
      <c r="K543" s="24">
        <v>3.15</v>
      </c>
      <c r="L543" s="28">
        <v>1.17</v>
      </c>
      <c r="M543" s="1">
        <v>21</v>
      </c>
      <c r="N543" s="28">
        <v>66.149999999999991</v>
      </c>
      <c r="O543" s="29">
        <v>0.05</v>
      </c>
      <c r="P543" s="28">
        <v>3.3075000000000001</v>
      </c>
      <c r="Q543" s="28">
        <v>62.842499999999987</v>
      </c>
      <c r="R543" s="1" t="str">
        <f t="shared" si="48"/>
        <v>Sep</v>
      </c>
      <c r="S543" s="28">
        <f t="shared" si="52"/>
        <v>41.58</v>
      </c>
      <c r="T543" s="28">
        <f t="shared" si="53"/>
        <v>21.262499999999989</v>
      </c>
      <c r="U543" s="11">
        <f t="shared" si="49"/>
        <v>0.33834586466165401</v>
      </c>
      <c r="V543" s="1" t="str">
        <f t="shared" si="50"/>
        <v>Slow</v>
      </c>
      <c r="W543" s="1" t="str">
        <f t="shared" si="51"/>
        <v>OK</v>
      </c>
    </row>
    <row r="544" spans="1:23">
      <c r="A544" s="1">
        <v>57162</v>
      </c>
      <c r="B544" s="10">
        <v>45913</v>
      </c>
      <c r="C544" s="1">
        <v>14</v>
      </c>
      <c r="D544" s="1" t="s">
        <v>57</v>
      </c>
      <c r="E544" s="1" t="s">
        <v>67</v>
      </c>
      <c r="F544" s="1" t="s">
        <v>88</v>
      </c>
      <c r="G544" s="1" t="s">
        <v>60</v>
      </c>
      <c r="H544" s="1" t="s">
        <v>65</v>
      </c>
      <c r="I544" s="1" t="s">
        <v>97</v>
      </c>
      <c r="J544" s="24">
        <v>1.6</v>
      </c>
      <c r="K544" s="24">
        <v>2.62</v>
      </c>
      <c r="L544" s="28">
        <v>1.02</v>
      </c>
      <c r="M544" s="1">
        <v>30</v>
      </c>
      <c r="N544" s="28">
        <v>78.600000000000009</v>
      </c>
      <c r="O544" s="29">
        <v>0.09</v>
      </c>
      <c r="P544" s="28">
        <v>7.0740000000000007</v>
      </c>
      <c r="Q544" s="28">
        <v>71.52600000000001</v>
      </c>
      <c r="R544" s="1" t="str">
        <f t="shared" si="48"/>
        <v>Sep</v>
      </c>
      <c r="S544" s="28">
        <f t="shared" si="52"/>
        <v>48</v>
      </c>
      <c r="T544" s="28">
        <f t="shared" si="53"/>
        <v>23.52600000000001</v>
      </c>
      <c r="U544" s="11">
        <f t="shared" si="49"/>
        <v>0.32891535944971068</v>
      </c>
      <c r="V544" s="1" t="str">
        <f t="shared" si="50"/>
        <v>Slow</v>
      </c>
      <c r="W544" s="1" t="str">
        <f t="shared" si="51"/>
        <v>OK</v>
      </c>
    </row>
    <row r="545" spans="1:23">
      <c r="A545" s="1">
        <v>57163</v>
      </c>
      <c r="B545" s="10">
        <v>45914</v>
      </c>
      <c r="C545" s="1">
        <v>2</v>
      </c>
      <c r="D545" s="1" t="s">
        <v>63</v>
      </c>
      <c r="E545" s="1" t="s">
        <v>72</v>
      </c>
      <c r="F545" s="1" t="s">
        <v>98</v>
      </c>
      <c r="G545" s="1" t="s">
        <v>60</v>
      </c>
      <c r="H545" s="1" t="s">
        <v>68</v>
      </c>
      <c r="I545" s="1" t="s">
        <v>103</v>
      </c>
      <c r="J545" s="24">
        <v>4.59</v>
      </c>
      <c r="K545" s="24">
        <v>7.28</v>
      </c>
      <c r="L545" s="28">
        <v>2.69</v>
      </c>
      <c r="M545" s="1">
        <v>21</v>
      </c>
      <c r="N545" s="28">
        <v>152.88</v>
      </c>
      <c r="O545" s="29">
        <v>0.1</v>
      </c>
      <c r="P545" s="28">
        <v>15.288</v>
      </c>
      <c r="Q545" s="28">
        <v>137.59200000000001</v>
      </c>
      <c r="R545" s="1" t="str">
        <f t="shared" si="48"/>
        <v>Sep</v>
      </c>
      <c r="S545" s="28">
        <f t="shared" si="52"/>
        <v>96.39</v>
      </c>
      <c r="T545" s="28">
        <f t="shared" si="53"/>
        <v>41.202000000000012</v>
      </c>
      <c r="U545" s="11">
        <f t="shared" si="49"/>
        <v>0.2994505494505495</v>
      </c>
      <c r="V545" s="1" t="str">
        <f t="shared" si="50"/>
        <v>Fast</v>
      </c>
      <c r="W545" s="1" t="str">
        <f t="shared" si="51"/>
        <v>OK</v>
      </c>
    </row>
    <row r="546" spans="1:23">
      <c r="A546" s="1">
        <v>57164</v>
      </c>
      <c r="B546" s="10">
        <v>45914</v>
      </c>
      <c r="C546" s="1">
        <v>16</v>
      </c>
      <c r="D546" s="1" t="s">
        <v>57</v>
      </c>
      <c r="E546" s="1" t="s">
        <v>58</v>
      </c>
      <c r="F546" s="1" t="s">
        <v>100</v>
      </c>
      <c r="G546" s="1" t="s">
        <v>60</v>
      </c>
      <c r="H546" s="1" t="s">
        <v>90</v>
      </c>
      <c r="I546" s="1" t="s">
        <v>157</v>
      </c>
      <c r="J546" s="24">
        <v>4.53</v>
      </c>
      <c r="K546" s="24">
        <v>7.3</v>
      </c>
      <c r="L546" s="28">
        <v>2.77</v>
      </c>
      <c r="M546" s="1">
        <v>12</v>
      </c>
      <c r="N546" s="28">
        <v>87.6</v>
      </c>
      <c r="O546" s="29">
        <v>0.03</v>
      </c>
      <c r="P546" s="28">
        <v>2.6280000000000001</v>
      </c>
      <c r="Q546" s="28">
        <v>84.971999999999994</v>
      </c>
      <c r="R546" s="1" t="str">
        <f t="shared" si="48"/>
        <v>Sep</v>
      </c>
      <c r="S546" s="28">
        <f t="shared" si="52"/>
        <v>54.36</v>
      </c>
      <c r="T546" s="28">
        <f t="shared" si="53"/>
        <v>30.611999999999995</v>
      </c>
      <c r="U546" s="11">
        <f t="shared" si="49"/>
        <v>0.36025985030362939</v>
      </c>
      <c r="V546" s="1" t="str">
        <f t="shared" si="50"/>
        <v>Very Slow</v>
      </c>
      <c r="W546" s="1" t="str">
        <f t="shared" si="51"/>
        <v>OK</v>
      </c>
    </row>
    <row r="547" spans="1:23">
      <c r="A547" s="1">
        <v>57165</v>
      </c>
      <c r="B547" s="10">
        <v>45914</v>
      </c>
      <c r="C547" s="1">
        <v>18</v>
      </c>
      <c r="D547" s="1" t="s">
        <v>63</v>
      </c>
      <c r="E547" s="1" t="s">
        <v>72</v>
      </c>
      <c r="F547" s="1" t="s">
        <v>64</v>
      </c>
      <c r="G547" s="1" t="s">
        <v>60</v>
      </c>
      <c r="H547" s="1" t="s">
        <v>70</v>
      </c>
      <c r="I547" s="1" t="s">
        <v>224</v>
      </c>
      <c r="J547" s="24">
        <v>1.98</v>
      </c>
      <c r="K547" s="24">
        <v>3.15</v>
      </c>
      <c r="L547" s="28">
        <v>1.17</v>
      </c>
      <c r="M547" s="1">
        <v>50</v>
      </c>
      <c r="N547" s="28">
        <v>157.5</v>
      </c>
      <c r="O547" s="29">
        <v>0.1</v>
      </c>
      <c r="P547" s="28">
        <v>15.75</v>
      </c>
      <c r="Q547" s="28">
        <v>141.75</v>
      </c>
      <c r="R547" s="1" t="str">
        <f t="shared" si="48"/>
        <v>Sep</v>
      </c>
      <c r="S547" s="28">
        <f t="shared" si="52"/>
        <v>99</v>
      </c>
      <c r="T547" s="28">
        <f t="shared" si="53"/>
        <v>42.75</v>
      </c>
      <c r="U547" s="11">
        <f t="shared" si="49"/>
        <v>0.30158730158730157</v>
      </c>
      <c r="V547" s="1" t="str">
        <f t="shared" si="50"/>
        <v>Very Slow</v>
      </c>
      <c r="W547" s="1" t="str">
        <f t="shared" si="51"/>
        <v>OK</v>
      </c>
    </row>
    <row r="548" spans="1:23">
      <c r="A548" s="1">
        <v>57166</v>
      </c>
      <c r="B548" s="10">
        <v>45915</v>
      </c>
      <c r="C548" s="1">
        <v>22</v>
      </c>
      <c r="D548" s="1" t="s">
        <v>78</v>
      </c>
      <c r="E548" s="1" t="s">
        <v>72</v>
      </c>
      <c r="F548" s="1" t="s">
        <v>73</v>
      </c>
      <c r="G548" s="1" t="s">
        <v>60</v>
      </c>
      <c r="H548" s="1" t="s">
        <v>70</v>
      </c>
      <c r="I548" s="1" t="s">
        <v>91</v>
      </c>
      <c r="J548" s="24">
        <v>0.93</v>
      </c>
      <c r="K548" s="24">
        <v>1.48</v>
      </c>
      <c r="L548" s="28">
        <v>0.54999999999999993</v>
      </c>
      <c r="M548" s="1">
        <v>39</v>
      </c>
      <c r="N548" s="28">
        <v>57.72</v>
      </c>
      <c r="O548" s="29">
        <v>0.04</v>
      </c>
      <c r="P548" s="28">
        <v>2.3088000000000002</v>
      </c>
      <c r="Q548" s="28">
        <v>55.411200000000001</v>
      </c>
      <c r="R548" s="1" t="str">
        <f t="shared" si="48"/>
        <v>Sep</v>
      </c>
      <c r="S548" s="28">
        <f t="shared" si="52"/>
        <v>36.270000000000003</v>
      </c>
      <c r="T548" s="28">
        <f t="shared" si="53"/>
        <v>19.141199999999998</v>
      </c>
      <c r="U548" s="11">
        <f t="shared" si="49"/>
        <v>0.34543918918918914</v>
      </c>
      <c r="V548" s="1" t="str">
        <f t="shared" si="50"/>
        <v>Very Slow</v>
      </c>
      <c r="W548" s="1" t="str">
        <f t="shared" si="51"/>
        <v>OK</v>
      </c>
    </row>
    <row r="549" spans="1:23">
      <c r="A549" s="1">
        <v>57167</v>
      </c>
      <c r="B549" s="10">
        <v>45915</v>
      </c>
      <c r="C549" s="1">
        <v>14</v>
      </c>
      <c r="D549" s="1" t="s">
        <v>63</v>
      </c>
      <c r="E549" s="1" t="s">
        <v>72</v>
      </c>
      <c r="F549" s="1" t="s">
        <v>73</v>
      </c>
      <c r="G549" s="1" t="s">
        <v>60</v>
      </c>
      <c r="H549" s="1" t="s">
        <v>70</v>
      </c>
      <c r="I549" s="1" t="s">
        <v>186</v>
      </c>
      <c r="J549" s="24">
        <v>11.11</v>
      </c>
      <c r="K549" s="24">
        <v>19.84</v>
      </c>
      <c r="L549" s="28">
        <v>8.73</v>
      </c>
      <c r="M549" s="1">
        <v>32</v>
      </c>
      <c r="N549" s="28">
        <v>634.88</v>
      </c>
      <c r="O549" s="29">
        <v>0.08</v>
      </c>
      <c r="P549" s="28">
        <v>50.790399999999998</v>
      </c>
      <c r="Q549" s="28">
        <v>584.08960000000002</v>
      </c>
      <c r="R549" s="1" t="str">
        <f t="shared" si="48"/>
        <v>Sep</v>
      </c>
      <c r="S549" s="28">
        <f t="shared" si="52"/>
        <v>355.52</v>
      </c>
      <c r="T549" s="28">
        <f t="shared" si="53"/>
        <v>228.56960000000004</v>
      </c>
      <c r="U549" s="11">
        <f t="shared" si="49"/>
        <v>0.39132626227208983</v>
      </c>
      <c r="V549" s="1" t="str">
        <f t="shared" si="50"/>
        <v>Slow</v>
      </c>
      <c r="W549" s="1" t="str">
        <f t="shared" si="51"/>
        <v>OK</v>
      </c>
    </row>
    <row r="550" spans="1:23">
      <c r="A550" s="1">
        <v>57168</v>
      </c>
      <c r="B550" s="10">
        <v>45915</v>
      </c>
      <c r="C550" s="1">
        <v>18</v>
      </c>
      <c r="D550" s="1" t="s">
        <v>63</v>
      </c>
      <c r="E550" s="1" t="s">
        <v>72</v>
      </c>
      <c r="F550" s="1" t="s">
        <v>79</v>
      </c>
      <c r="G550" s="1" t="s">
        <v>81</v>
      </c>
      <c r="H550" s="1" t="s">
        <v>70</v>
      </c>
      <c r="I550" s="1" t="s">
        <v>147</v>
      </c>
      <c r="J550" s="24">
        <v>377.99</v>
      </c>
      <c r="K550" s="24">
        <v>599.99</v>
      </c>
      <c r="L550" s="28">
        <v>222</v>
      </c>
      <c r="M550" s="1">
        <v>25</v>
      </c>
      <c r="N550" s="28">
        <v>14999.75</v>
      </c>
      <c r="O550" s="29">
        <v>7.0000000000000007E-2</v>
      </c>
      <c r="P550" s="28">
        <v>1049.9825000000001</v>
      </c>
      <c r="Q550" s="28">
        <v>13949.7675</v>
      </c>
      <c r="R550" s="1" t="str">
        <f t="shared" si="48"/>
        <v>Sep</v>
      </c>
      <c r="S550" s="28">
        <f t="shared" si="52"/>
        <v>9449.75</v>
      </c>
      <c r="T550" s="28">
        <f t="shared" si="53"/>
        <v>4500.0174999999999</v>
      </c>
      <c r="U550" s="11">
        <f t="shared" si="49"/>
        <v>0.32258727609617865</v>
      </c>
      <c r="V550" s="1" t="str">
        <f t="shared" si="50"/>
        <v>Very Slow</v>
      </c>
      <c r="W550" s="1" t="str">
        <f t="shared" si="51"/>
        <v>OK</v>
      </c>
    </row>
    <row r="551" spans="1:23">
      <c r="A551" s="1">
        <v>57169</v>
      </c>
      <c r="B551" s="10">
        <v>45915</v>
      </c>
      <c r="C551" s="1">
        <v>7</v>
      </c>
      <c r="D551" s="1" t="s">
        <v>78</v>
      </c>
      <c r="E551" s="1" t="s">
        <v>67</v>
      </c>
      <c r="F551" s="1" t="s">
        <v>79</v>
      </c>
      <c r="G551" s="1" t="s">
        <v>60</v>
      </c>
      <c r="H551" s="1" t="s">
        <v>70</v>
      </c>
      <c r="I551" s="1" t="s">
        <v>97</v>
      </c>
      <c r="J551" s="24">
        <v>1.6</v>
      </c>
      <c r="K551" s="24">
        <v>2.62</v>
      </c>
      <c r="L551" s="28">
        <v>1.02</v>
      </c>
      <c r="M551" s="1">
        <v>12</v>
      </c>
      <c r="N551" s="28">
        <v>31.44</v>
      </c>
      <c r="O551" s="29">
        <v>0.08</v>
      </c>
      <c r="P551" s="28">
        <v>2.5152000000000001</v>
      </c>
      <c r="Q551" s="28">
        <v>28.924800000000001</v>
      </c>
      <c r="R551" s="1" t="str">
        <f t="shared" si="48"/>
        <v>Sep</v>
      </c>
      <c r="S551" s="28">
        <f t="shared" si="52"/>
        <v>19.200000000000003</v>
      </c>
      <c r="T551" s="28">
        <f t="shared" si="53"/>
        <v>9.7247999999999983</v>
      </c>
      <c r="U551" s="11">
        <f t="shared" si="49"/>
        <v>0.33620975771656147</v>
      </c>
      <c r="V551" s="1" t="str">
        <f t="shared" si="50"/>
        <v>Standard</v>
      </c>
      <c r="W551" s="1" t="str">
        <f t="shared" si="51"/>
        <v>OK</v>
      </c>
    </row>
    <row r="552" spans="1:23">
      <c r="A552" s="1">
        <v>57170</v>
      </c>
      <c r="B552" s="10">
        <v>45916</v>
      </c>
      <c r="C552" s="1">
        <v>19</v>
      </c>
      <c r="D552" s="1" t="s">
        <v>57</v>
      </c>
      <c r="E552" s="1" t="s">
        <v>67</v>
      </c>
      <c r="F552" s="1" t="s">
        <v>100</v>
      </c>
      <c r="G552" s="1" t="s">
        <v>81</v>
      </c>
      <c r="H552" s="1" t="s">
        <v>65</v>
      </c>
      <c r="I552" s="1" t="s">
        <v>225</v>
      </c>
      <c r="J552" s="24">
        <v>269.99</v>
      </c>
      <c r="K552" s="24">
        <v>449.99</v>
      </c>
      <c r="L552" s="28">
        <v>180</v>
      </c>
      <c r="M552" s="1">
        <v>3</v>
      </c>
      <c r="N552" s="28">
        <v>1349.97</v>
      </c>
      <c r="O552" s="29">
        <v>0.06</v>
      </c>
      <c r="P552" s="28">
        <v>80.998199999999997</v>
      </c>
      <c r="Q552" s="28">
        <v>1268.9718</v>
      </c>
      <c r="R552" s="1" t="str">
        <f t="shared" si="48"/>
        <v>Sep</v>
      </c>
      <c r="S552" s="28">
        <f t="shared" si="52"/>
        <v>809.97</v>
      </c>
      <c r="T552" s="28">
        <f t="shared" si="53"/>
        <v>459.0018</v>
      </c>
      <c r="U552" s="11">
        <f t="shared" si="49"/>
        <v>0.36171158413449378</v>
      </c>
      <c r="V552" s="1" t="str">
        <f t="shared" si="50"/>
        <v>Very Slow</v>
      </c>
      <c r="W552" s="1" t="str">
        <f t="shared" si="51"/>
        <v>OK</v>
      </c>
    </row>
    <row r="553" spans="1:23">
      <c r="A553" s="1">
        <v>57171</v>
      </c>
      <c r="B553" s="10">
        <v>45917</v>
      </c>
      <c r="C553" s="1">
        <v>16</v>
      </c>
      <c r="D553" s="1" t="s">
        <v>57</v>
      </c>
      <c r="E553" s="1" t="s">
        <v>72</v>
      </c>
      <c r="F553" s="1" t="s">
        <v>18</v>
      </c>
      <c r="G553" s="1" t="s">
        <v>60</v>
      </c>
      <c r="H553" s="1" t="s">
        <v>68</v>
      </c>
      <c r="I553" s="1" t="s">
        <v>107</v>
      </c>
      <c r="J553" s="24">
        <v>13.88</v>
      </c>
      <c r="K553" s="24">
        <v>22.38</v>
      </c>
      <c r="L553" s="28">
        <v>8.4999999999999982</v>
      </c>
      <c r="M553" s="1">
        <v>22</v>
      </c>
      <c r="N553" s="28">
        <v>492.36</v>
      </c>
      <c r="O553" s="29">
        <v>0.05</v>
      </c>
      <c r="P553" s="28">
        <v>24.617999999999999</v>
      </c>
      <c r="Q553" s="28">
        <v>467.74200000000002</v>
      </c>
      <c r="R553" s="1" t="str">
        <f t="shared" si="48"/>
        <v>Sep</v>
      </c>
      <c r="S553" s="28">
        <f t="shared" si="52"/>
        <v>305.36</v>
      </c>
      <c r="T553" s="28">
        <f t="shared" si="53"/>
        <v>162.38200000000001</v>
      </c>
      <c r="U553" s="11">
        <f t="shared" si="49"/>
        <v>0.34716146935703873</v>
      </c>
      <c r="V553" s="1" t="str">
        <f t="shared" si="50"/>
        <v>Very Slow</v>
      </c>
      <c r="W553" s="1" t="str">
        <f t="shared" si="51"/>
        <v>OK</v>
      </c>
    </row>
    <row r="554" spans="1:23">
      <c r="A554" s="1">
        <v>57172</v>
      </c>
      <c r="B554" s="10">
        <v>45917</v>
      </c>
      <c r="C554" s="1">
        <v>3</v>
      </c>
      <c r="D554" s="1" t="s">
        <v>63</v>
      </c>
      <c r="E554" s="1" t="s">
        <v>72</v>
      </c>
      <c r="F554" s="1" t="s">
        <v>59</v>
      </c>
      <c r="G554" s="1" t="s">
        <v>60</v>
      </c>
      <c r="H554" s="1" t="s">
        <v>90</v>
      </c>
      <c r="I554" s="1" t="s">
        <v>106</v>
      </c>
      <c r="J554" s="24">
        <v>1.53</v>
      </c>
      <c r="K554" s="24">
        <v>2.78</v>
      </c>
      <c r="L554" s="28">
        <v>1.25</v>
      </c>
      <c r="M554" s="1">
        <v>39</v>
      </c>
      <c r="N554" s="28">
        <v>108.42</v>
      </c>
      <c r="O554" s="29">
        <v>0.1</v>
      </c>
      <c r="P554" s="28">
        <v>10.842000000000001</v>
      </c>
      <c r="Q554" s="28">
        <v>97.577999999999989</v>
      </c>
      <c r="R554" s="1" t="str">
        <f t="shared" si="48"/>
        <v>Sep</v>
      </c>
      <c r="S554" s="28">
        <f t="shared" si="52"/>
        <v>59.67</v>
      </c>
      <c r="T554" s="28">
        <f t="shared" si="53"/>
        <v>37.907999999999987</v>
      </c>
      <c r="U554" s="11">
        <f t="shared" si="49"/>
        <v>0.38848920863309344</v>
      </c>
      <c r="V554" s="1" t="str">
        <f t="shared" si="50"/>
        <v>Fast</v>
      </c>
      <c r="W554" s="1" t="str">
        <f t="shared" si="51"/>
        <v>OK</v>
      </c>
    </row>
    <row r="555" spans="1:23">
      <c r="A555" s="1">
        <v>57173</v>
      </c>
      <c r="B555" s="10">
        <v>45917</v>
      </c>
      <c r="C555" s="1">
        <v>19</v>
      </c>
      <c r="D555" s="1" t="s">
        <v>57</v>
      </c>
      <c r="E555" s="1" t="s">
        <v>87</v>
      </c>
      <c r="F555" s="1" t="s">
        <v>98</v>
      </c>
      <c r="G555" s="1" t="s">
        <v>60</v>
      </c>
      <c r="H555" s="1" t="s">
        <v>61</v>
      </c>
      <c r="I555" s="1" t="s">
        <v>180</v>
      </c>
      <c r="J555" s="24">
        <v>54.29</v>
      </c>
      <c r="K555" s="24">
        <v>90.48</v>
      </c>
      <c r="L555" s="28">
        <v>36.19</v>
      </c>
      <c r="M555" s="1">
        <v>18</v>
      </c>
      <c r="N555" s="28">
        <v>1628.64</v>
      </c>
      <c r="O555" s="29">
        <v>0.01</v>
      </c>
      <c r="P555" s="28">
        <v>16.2864</v>
      </c>
      <c r="Q555" s="28">
        <v>1612.3535999999999</v>
      </c>
      <c r="R555" s="1" t="str">
        <f t="shared" si="48"/>
        <v>Sep</v>
      </c>
      <c r="S555" s="28">
        <f t="shared" si="52"/>
        <v>977.22</v>
      </c>
      <c r="T555" s="28">
        <f t="shared" si="53"/>
        <v>635.13359999999989</v>
      </c>
      <c r="U555" s="11">
        <f t="shared" si="49"/>
        <v>0.39391706633085938</v>
      </c>
      <c r="V555" s="1" t="str">
        <f t="shared" si="50"/>
        <v>Very Slow</v>
      </c>
      <c r="W555" s="1" t="str">
        <f t="shared" si="51"/>
        <v>OK</v>
      </c>
    </row>
    <row r="556" spans="1:23">
      <c r="A556" s="1">
        <v>57174</v>
      </c>
      <c r="B556" s="10">
        <v>45917</v>
      </c>
      <c r="C556" s="1">
        <v>18</v>
      </c>
      <c r="D556" s="1" t="s">
        <v>78</v>
      </c>
      <c r="E556" s="1" t="s">
        <v>87</v>
      </c>
      <c r="F556" s="1" t="s">
        <v>98</v>
      </c>
      <c r="G556" s="1" t="s">
        <v>81</v>
      </c>
      <c r="H556" s="1" t="s">
        <v>68</v>
      </c>
      <c r="I556" s="1" t="s">
        <v>150</v>
      </c>
      <c r="J556" s="24">
        <v>8.82</v>
      </c>
      <c r="K556" s="24">
        <v>20.99</v>
      </c>
      <c r="L556" s="28">
        <v>12.17</v>
      </c>
      <c r="M556" s="1">
        <v>8</v>
      </c>
      <c r="N556" s="28">
        <v>167.92</v>
      </c>
      <c r="O556" s="29">
        <v>0.08</v>
      </c>
      <c r="P556" s="28">
        <v>13.4336</v>
      </c>
      <c r="Q556" s="28">
        <v>154.4864</v>
      </c>
      <c r="R556" s="1" t="str">
        <f t="shared" si="48"/>
        <v>Sep</v>
      </c>
      <c r="S556" s="28">
        <f t="shared" si="52"/>
        <v>70.56</v>
      </c>
      <c r="T556" s="28">
        <f t="shared" si="53"/>
        <v>83.926400000000001</v>
      </c>
      <c r="U556" s="11">
        <f t="shared" si="49"/>
        <v>0.54326076599623008</v>
      </c>
      <c r="V556" s="1" t="str">
        <f t="shared" si="50"/>
        <v>Very Slow</v>
      </c>
      <c r="W556" s="1" t="str">
        <f t="shared" si="51"/>
        <v>OK</v>
      </c>
    </row>
    <row r="557" spans="1:23">
      <c r="A557" s="1">
        <v>57175</v>
      </c>
      <c r="B557" s="10">
        <v>45918</v>
      </c>
      <c r="C557" s="1">
        <v>18</v>
      </c>
      <c r="D557" s="1" t="s">
        <v>57</v>
      </c>
      <c r="E557" s="1" t="s">
        <v>87</v>
      </c>
      <c r="F557" s="1" t="s">
        <v>100</v>
      </c>
      <c r="G557" s="1" t="s">
        <v>60</v>
      </c>
      <c r="H557" s="1" t="s">
        <v>90</v>
      </c>
      <c r="I557" s="1" t="s">
        <v>142</v>
      </c>
      <c r="J557" s="24">
        <v>2.29</v>
      </c>
      <c r="K557" s="24">
        <v>3.69</v>
      </c>
      <c r="L557" s="28">
        <v>1.4</v>
      </c>
      <c r="M557" s="1">
        <v>53</v>
      </c>
      <c r="N557" s="28">
        <v>195.57</v>
      </c>
      <c r="O557" s="29">
        <v>0.1</v>
      </c>
      <c r="P557" s="28">
        <v>19.556999999999999</v>
      </c>
      <c r="Q557" s="28">
        <v>176.01300000000001</v>
      </c>
      <c r="R557" s="1" t="str">
        <f t="shared" si="48"/>
        <v>Sep</v>
      </c>
      <c r="S557" s="28">
        <f t="shared" si="52"/>
        <v>121.37</v>
      </c>
      <c r="T557" s="28">
        <f t="shared" si="53"/>
        <v>54.643000000000001</v>
      </c>
      <c r="U557" s="11">
        <f t="shared" si="49"/>
        <v>0.31044866004215599</v>
      </c>
      <c r="V557" s="1" t="str">
        <f t="shared" si="50"/>
        <v>Very Slow</v>
      </c>
      <c r="W557" s="1" t="str">
        <f t="shared" si="51"/>
        <v>OK</v>
      </c>
    </row>
    <row r="558" spans="1:23">
      <c r="A558" s="1">
        <v>57176</v>
      </c>
      <c r="B558" s="10">
        <v>45918</v>
      </c>
      <c r="C558" s="1">
        <v>22</v>
      </c>
      <c r="D558" s="1" t="s">
        <v>78</v>
      </c>
      <c r="E558" s="1" t="s">
        <v>72</v>
      </c>
      <c r="F558" s="1" t="s">
        <v>79</v>
      </c>
      <c r="G558" s="1" t="s">
        <v>81</v>
      </c>
      <c r="H558" s="1" t="s">
        <v>68</v>
      </c>
      <c r="I558" s="1" t="s">
        <v>160</v>
      </c>
      <c r="J558" s="24">
        <v>14.7</v>
      </c>
      <c r="K558" s="24">
        <v>29.99</v>
      </c>
      <c r="L558" s="28">
        <v>15.29</v>
      </c>
      <c r="M558" s="1">
        <v>24</v>
      </c>
      <c r="N558" s="28">
        <v>719.76</v>
      </c>
      <c r="O558" s="29">
        <v>0.05</v>
      </c>
      <c r="P558" s="28">
        <v>35.988</v>
      </c>
      <c r="Q558" s="28">
        <v>683.77199999999993</v>
      </c>
      <c r="R558" s="1" t="str">
        <f t="shared" si="48"/>
        <v>Sep</v>
      </c>
      <c r="S558" s="28">
        <f t="shared" si="52"/>
        <v>352.79999999999995</v>
      </c>
      <c r="T558" s="28">
        <f t="shared" si="53"/>
        <v>330.97199999999998</v>
      </c>
      <c r="U558" s="11">
        <f t="shared" si="49"/>
        <v>0.48403853916217687</v>
      </c>
      <c r="V558" s="1" t="str">
        <f t="shared" si="50"/>
        <v>Very Slow</v>
      </c>
      <c r="W558" s="1" t="str">
        <f t="shared" si="51"/>
        <v>OK</v>
      </c>
    </row>
    <row r="559" spans="1:23">
      <c r="A559" s="1">
        <v>57177</v>
      </c>
      <c r="B559" s="10">
        <v>45919</v>
      </c>
      <c r="C559" s="1">
        <v>9</v>
      </c>
      <c r="D559" s="1" t="s">
        <v>63</v>
      </c>
      <c r="E559" s="1" t="s">
        <v>58</v>
      </c>
      <c r="F559" s="1" t="s">
        <v>64</v>
      </c>
      <c r="G559" s="1" t="s">
        <v>60</v>
      </c>
      <c r="H559" s="1" t="s">
        <v>90</v>
      </c>
      <c r="I559" s="1" t="s">
        <v>203</v>
      </c>
      <c r="J559" s="24">
        <v>1.84</v>
      </c>
      <c r="K559" s="24">
        <v>2.88</v>
      </c>
      <c r="L559" s="28">
        <v>1.04</v>
      </c>
      <c r="M559" s="1">
        <v>14</v>
      </c>
      <c r="N559" s="28">
        <v>40.32</v>
      </c>
      <c r="O559" s="29">
        <v>0.02</v>
      </c>
      <c r="P559" s="28">
        <v>0.80640000000000001</v>
      </c>
      <c r="Q559" s="28">
        <v>39.513599999999997</v>
      </c>
      <c r="R559" s="1" t="str">
        <f t="shared" si="48"/>
        <v>Sep</v>
      </c>
      <c r="S559" s="28">
        <f t="shared" si="52"/>
        <v>25.76</v>
      </c>
      <c r="T559" s="28">
        <f t="shared" si="53"/>
        <v>13.753599999999995</v>
      </c>
      <c r="U559" s="11">
        <f t="shared" si="49"/>
        <v>0.34807256235827655</v>
      </c>
      <c r="V559" s="1" t="str">
        <f t="shared" si="50"/>
        <v>Slow</v>
      </c>
      <c r="W559" s="1" t="str">
        <f t="shared" si="51"/>
        <v>OK</v>
      </c>
    </row>
    <row r="560" spans="1:23">
      <c r="A560" s="1">
        <v>57178</v>
      </c>
      <c r="B560" s="10">
        <v>45919</v>
      </c>
      <c r="C560" s="1">
        <v>8</v>
      </c>
      <c r="D560" s="1" t="s">
        <v>78</v>
      </c>
      <c r="E560" s="1" t="s">
        <v>67</v>
      </c>
      <c r="F560" s="1" t="s">
        <v>75</v>
      </c>
      <c r="G560" s="1" t="s">
        <v>60</v>
      </c>
      <c r="H560" s="1" t="s">
        <v>90</v>
      </c>
      <c r="I560" s="1" t="s">
        <v>107</v>
      </c>
      <c r="J560" s="24">
        <v>13.88</v>
      </c>
      <c r="K560" s="24">
        <v>22.38</v>
      </c>
      <c r="L560" s="28">
        <v>8.4999999999999982</v>
      </c>
      <c r="M560" s="1">
        <v>28</v>
      </c>
      <c r="N560" s="28">
        <v>626.64</v>
      </c>
      <c r="O560" s="29">
        <v>0.01</v>
      </c>
      <c r="P560" s="28">
        <v>6.2664</v>
      </c>
      <c r="Q560" s="28">
        <v>620.37360000000001</v>
      </c>
      <c r="R560" s="1" t="str">
        <f t="shared" si="48"/>
        <v>Sep</v>
      </c>
      <c r="S560" s="28">
        <f t="shared" si="52"/>
        <v>388.64000000000004</v>
      </c>
      <c r="T560" s="28">
        <f t="shared" si="53"/>
        <v>231.73359999999997</v>
      </c>
      <c r="U560" s="11">
        <f t="shared" si="49"/>
        <v>0.37353878372645122</v>
      </c>
      <c r="V560" s="1" t="str">
        <f t="shared" si="50"/>
        <v>Slow</v>
      </c>
      <c r="W560" s="1" t="str">
        <f t="shared" si="51"/>
        <v>OK</v>
      </c>
    </row>
    <row r="561" spans="1:23">
      <c r="A561" s="1">
        <v>57179</v>
      </c>
      <c r="B561" s="10">
        <v>45919</v>
      </c>
      <c r="C561" s="1">
        <v>20</v>
      </c>
      <c r="D561" s="1" t="s">
        <v>57</v>
      </c>
      <c r="E561" s="1" t="s">
        <v>87</v>
      </c>
      <c r="F561" s="1" t="s">
        <v>59</v>
      </c>
      <c r="G561" s="1" t="s">
        <v>60</v>
      </c>
      <c r="H561" s="1" t="s">
        <v>68</v>
      </c>
      <c r="I561" s="1" t="s">
        <v>196</v>
      </c>
      <c r="J561" s="24">
        <v>4.8899999999999997</v>
      </c>
      <c r="K561" s="24">
        <v>7.64</v>
      </c>
      <c r="L561" s="28">
        <v>2.75</v>
      </c>
      <c r="M561" s="1">
        <v>7</v>
      </c>
      <c r="N561" s="28">
        <v>53.48</v>
      </c>
      <c r="O561" s="29">
        <v>0.06</v>
      </c>
      <c r="P561" s="28">
        <v>3.2088000000000001</v>
      </c>
      <c r="Q561" s="28">
        <v>50.2712</v>
      </c>
      <c r="R561" s="1" t="str">
        <f t="shared" si="48"/>
        <v>Sep</v>
      </c>
      <c r="S561" s="28">
        <f t="shared" si="52"/>
        <v>34.229999999999997</v>
      </c>
      <c r="T561" s="28">
        <f t="shared" si="53"/>
        <v>16.041200000000003</v>
      </c>
      <c r="U561" s="11">
        <f t="shared" si="49"/>
        <v>0.31909323827559327</v>
      </c>
      <c r="V561" s="1" t="str">
        <f t="shared" si="50"/>
        <v>Very Slow</v>
      </c>
      <c r="W561" s="1" t="str">
        <f t="shared" si="51"/>
        <v>OK</v>
      </c>
    </row>
    <row r="562" spans="1:23">
      <c r="A562" s="1">
        <v>57180</v>
      </c>
      <c r="B562" s="10">
        <v>45920</v>
      </c>
      <c r="C562" s="1">
        <v>16</v>
      </c>
      <c r="D562" s="1" t="s">
        <v>57</v>
      </c>
      <c r="E562" s="1" t="s">
        <v>72</v>
      </c>
      <c r="F562" s="1" t="s">
        <v>73</v>
      </c>
      <c r="G562" s="1" t="s">
        <v>81</v>
      </c>
      <c r="H562" s="1" t="s">
        <v>65</v>
      </c>
      <c r="I562" s="1" t="s">
        <v>143</v>
      </c>
      <c r="J562" s="24">
        <v>42.11</v>
      </c>
      <c r="K562" s="24">
        <v>80.98</v>
      </c>
      <c r="L562" s="28">
        <v>38.869999999999997</v>
      </c>
      <c r="M562" s="1">
        <v>26</v>
      </c>
      <c r="N562" s="28">
        <v>2105.48</v>
      </c>
      <c r="O562" s="29">
        <v>0.1</v>
      </c>
      <c r="P562" s="28">
        <v>210.548</v>
      </c>
      <c r="Q562" s="28">
        <v>1894.932</v>
      </c>
      <c r="R562" s="1" t="str">
        <f t="shared" si="48"/>
        <v>Sep</v>
      </c>
      <c r="S562" s="28">
        <f t="shared" si="52"/>
        <v>1094.8599999999999</v>
      </c>
      <c r="T562" s="28">
        <f t="shared" si="53"/>
        <v>800.07200000000012</v>
      </c>
      <c r="U562" s="11">
        <f t="shared" si="49"/>
        <v>0.42221673389863074</v>
      </c>
      <c r="V562" s="1" t="str">
        <f t="shared" si="50"/>
        <v>Very Slow</v>
      </c>
      <c r="W562" s="1" t="str">
        <f t="shared" si="51"/>
        <v>OK</v>
      </c>
    </row>
    <row r="563" spans="1:23">
      <c r="A563" s="1">
        <v>57181</v>
      </c>
      <c r="B563" s="10">
        <v>45921</v>
      </c>
      <c r="C563" s="1">
        <v>21</v>
      </c>
      <c r="D563" s="1" t="s">
        <v>57</v>
      </c>
      <c r="E563" s="1" t="s">
        <v>67</v>
      </c>
      <c r="F563" s="1" t="s">
        <v>96</v>
      </c>
      <c r="G563" s="1" t="s">
        <v>81</v>
      </c>
      <c r="H563" s="1" t="s">
        <v>61</v>
      </c>
      <c r="I563" s="1" t="s">
        <v>110</v>
      </c>
      <c r="J563" s="24">
        <v>216</v>
      </c>
      <c r="K563" s="24">
        <v>449.99</v>
      </c>
      <c r="L563" s="28">
        <v>233.99</v>
      </c>
      <c r="M563" s="1">
        <v>25</v>
      </c>
      <c r="N563" s="28">
        <v>11249.75</v>
      </c>
      <c r="O563" s="29">
        <v>0</v>
      </c>
      <c r="P563" s="28">
        <v>0</v>
      </c>
      <c r="Q563" s="28">
        <v>11249.75</v>
      </c>
      <c r="R563" s="1" t="str">
        <f t="shared" si="48"/>
        <v>Sep</v>
      </c>
      <c r="S563" s="28">
        <f t="shared" si="52"/>
        <v>5400</v>
      </c>
      <c r="T563" s="28">
        <f t="shared" si="53"/>
        <v>5849.75</v>
      </c>
      <c r="U563" s="11">
        <f t="shared" si="49"/>
        <v>0.51998933309629103</v>
      </c>
      <c r="V563" s="1" t="str">
        <f t="shared" si="50"/>
        <v>Very Slow</v>
      </c>
      <c r="W563" s="1" t="str">
        <f t="shared" si="51"/>
        <v>OK</v>
      </c>
    </row>
    <row r="564" spans="1:23">
      <c r="A564" s="1">
        <v>57182</v>
      </c>
      <c r="B564" s="10">
        <v>45921</v>
      </c>
      <c r="C564" s="1">
        <v>4</v>
      </c>
      <c r="D564" s="1" t="s">
        <v>57</v>
      </c>
      <c r="E564" s="1" t="s">
        <v>58</v>
      </c>
      <c r="F564" s="1" t="s">
        <v>73</v>
      </c>
      <c r="G564" s="1" t="s">
        <v>60</v>
      </c>
      <c r="H564" s="1" t="s">
        <v>61</v>
      </c>
      <c r="I564" s="1" t="s">
        <v>77</v>
      </c>
      <c r="J564" s="24">
        <v>12.39</v>
      </c>
      <c r="K564" s="24">
        <v>19.98</v>
      </c>
      <c r="L564" s="28">
        <v>7.59</v>
      </c>
      <c r="M564" s="1">
        <v>43</v>
      </c>
      <c r="N564" s="28">
        <v>859.14</v>
      </c>
      <c r="O564" s="29">
        <v>7.0000000000000007E-2</v>
      </c>
      <c r="P564" s="28">
        <v>60.139800000000008</v>
      </c>
      <c r="Q564" s="28">
        <v>799.00019999999995</v>
      </c>
      <c r="R564" s="1" t="str">
        <f t="shared" si="48"/>
        <v>Sep</v>
      </c>
      <c r="S564" s="28">
        <f t="shared" si="52"/>
        <v>532.77</v>
      </c>
      <c r="T564" s="28">
        <f t="shared" si="53"/>
        <v>266.23019999999997</v>
      </c>
      <c r="U564" s="11">
        <f t="shared" si="49"/>
        <v>0.33320417191384932</v>
      </c>
      <c r="V564" s="1" t="str">
        <f t="shared" si="50"/>
        <v>Standard</v>
      </c>
      <c r="W564" s="1" t="str">
        <f t="shared" si="51"/>
        <v>OK</v>
      </c>
    </row>
    <row r="565" spans="1:23">
      <c r="A565" s="1">
        <v>57183</v>
      </c>
      <c r="B565" s="10">
        <v>45922</v>
      </c>
      <c r="C565" s="1">
        <v>2</v>
      </c>
      <c r="D565" s="1" t="s">
        <v>78</v>
      </c>
      <c r="E565" s="1" t="s">
        <v>72</v>
      </c>
      <c r="F565" s="1" t="s">
        <v>64</v>
      </c>
      <c r="G565" s="1" t="s">
        <v>60</v>
      </c>
      <c r="H565" s="1" t="s">
        <v>61</v>
      </c>
      <c r="I565" s="1" t="s">
        <v>128</v>
      </c>
      <c r="J565" s="24">
        <v>178.83</v>
      </c>
      <c r="K565" s="24">
        <v>415.88</v>
      </c>
      <c r="L565" s="28">
        <v>237.05</v>
      </c>
      <c r="M565" s="1">
        <v>5</v>
      </c>
      <c r="N565" s="28">
        <v>2079.4</v>
      </c>
      <c r="O565" s="29">
        <v>0.04</v>
      </c>
      <c r="P565" s="28">
        <v>83.176000000000002</v>
      </c>
      <c r="Q565" s="28">
        <v>1996.2239999999999</v>
      </c>
      <c r="R565" s="1" t="str">
        <f t="shared" si="48"/>
        <v>Sep</v>
      </c>
      <c r="S565" s="28">
        <f t="shared" si="52"/>
        <v>894.15000000000009</v>
      </c>
      <c r="T565" s="28">
        <f t="shared" si="53"/>
        <v>1102.0739999999998</v>
      </c>
      <c r="U565" s="11">
        <f t="shared" si="49"/>
        <v>0.5520793257670481</v>
      </c>
      <c r="V565" s="1" t="str">
        <f t="shared" si="50"/>
        <v>Fast</v>
      </c>
      <c r="W565" s="1" t="str">
        <f t="shared" si="51"/>
        <v>OK</v>
      </c>
    </row>
    <row r="566" spans="1:23">
      <c r="A566" s="1">
        <v>57184</v>
      </c>
      <c r="B566" s="10">
        <v>45922</v>
      </c>
      <c r="C566" s="1">
        <v>1</v>
      </c>
      <c r="D566" s="1" t="s">
        <v>78</v>
      </c>
      <c r="E566" s="1" t="s">
        <v>58</v>
      </c>
      <c r="F566" s="1" t="s">
        <v>108</v>
      </c>
      <c r="G566" s="1" t="s">
        <v>60</v>
      </c>
      <c r="H566" s="1" t="s">
        <v>70</v>
      </c>
      <c r="I566" s="1" t="s">
        <v>217</v>
      </c>
      <c r="J566" s="24">
        <v>1.33</v>
      </c>
      <c r="K566" s="24">
        <v>2.08</v>
      </c>
      <c r="L566" s="28">
        <v>0.75</v>
      </c>
      <c r="M566" s="1">
        <v>18</v>
      </c>
      <c r="N566" s="28">
        <v>37.44</v>
      </c>
      <c r="O566" s="29">
        <v>0.1</v>
      </c>
      <c r="P566" s="28">
        <v>3.7440000000000002</v>
      </c>
      <c r="Q566" s="28">
        <v>33.695999999999998</v>
      </c>
      <c r="R566" s="1" t="str">
        <f t="shared" si="48"/>
        <v>Sep</v>
      </c>
      <c r="S566" s="28">
        <f t="shared" si="52"/>
        <v>23.94</v>
      </c>
      <c r="T566" s="28">
        <f t="shared" si="53"/>
        <v>9.7559999999999967</v>
      </c>
      <c r="U566" s="11">
        <f t="shared" si="49"/>
        <v>0.28952991452991444</v>
      </c>
      <c r="V566" s="1" t="str">
        <f t="shared" si="50"/>
        <v>Fast</v>
      </c>
      <c r="W566" s="1" t="str">
        <f t="shared" si="51"/>
        <v>OK</v>
      </c>
    </row>
    <row r="567" spans="1:23">
      <c r="A567" s="1">
        <v>57185</v>
      </c>
      <c r="B567" s="10">
        <v>45923</v>
      </c>
      <c r="C567" s="1">
        <v>15</v>
      </c>
      <c r="D567" s="1" t="s">
        <v>78</v>
      </c>
      <c r="E567" s="1" t="s">
        <v>87</v>
      </c>
      <c r="F567" s="1" t="s">
        <v>18</v>
      </c>
      <c r="G567" s="1" t="s">
        <v>60</v>
      </c>
      <c r="H567" s="1" t="s">
        <v>61</v>
      </c>
      <c r="I567" s="1" t="s">
        <v>175</v>
      </c>
      <c r="J567" s="24">
        <v>4.79</v>
      </c>
      <c r="K567" s="24">
        <v>11.97</v>
      </c>
      <c r="L567" s="28">
        <v>7.1800000000000006</v>
      </c>
      <c r="M567" s="1">
        <v>56</v>
      </c>
      <c r="N567" s="28">
        <v>670.32</v>
      </c>
      <c r="O567" s="29">
        <v>0.09</v>
      </c>
      <c r="P567" s="28">
        <v>60.328800000000001</v>
      </c>
      <c r="Q567" s="28">
        <v>609.99120000000005</v>
      </c>
      <c r="R567" s="1" t="str">
        <f t="shared" si="48"/>
        <v>Sep</v>
      </c>
      <c r="S567" s="28">
        <f t="shared" si="52"/>
        <v>268.24</v>
      </c>
      <c r="T567" s="28">
        <f t="shared" si="53"/>
        <v>341.75120000000004</v>
      </c>
      <c r="U567" s="11">
        <f t="shared" si="49"/>
        <v>0.56025595123339489</v>
      </c>
      <c r="V567" s="1" t="str">
        <f t="shared" si="50"/>
        <v>Very Slow</v>
      </c>
      <c r="W567" s="1" t="str">
        <f t="shared" si="51"/>
        <v>OK</v>
      </c>
    </row>
    <row r="568" spans="1:23">
      <c r="A568" s="1">
        <v>57186</v>
      </c>
      <c r="B568" s="10">
        <v>45923</v>
      </c>
      <c r="C568" s="1">
        <v>11</v>
      </c>
      <c r="D568" s="1" t="s">
        <v>78</v>
      </c>
      <c r="E568" s="1" t="s">
        <v>72</v>
      </c>
      <c r="F568" s="1" t="s">
        <v>88</v>
      </c>
      <c r="G568" s="1" t="s">
        <v>60</v>
      </c>
      <c r="H568" s="1" t="s">
        <v>68</v>
      </c>
      <c r="I568" s="1" t="s">
        <v>112</v>
      </c>
      <c r="J568" s="24">
        <v>3.5</v>
      </c>
      <c r="K568" s="24">
        <v>5.74</v>
      </c>
      <c r="L568" s="28">
        <v>2.2400000000000002</v>
      </c>
      <c r="M568" s="1">
        <v>7</v>
      </c>
      <c r="N568" s="28">
        <v>40.18</v>
      </c>
      <c r="O568" s="29">
        <v>0.04</v>
      </c>
      <c r="P568" s="28">
        <v>1.6072</v>
      </c>
      <c r="Q568" s="28">
        <v>38.572800000000001</v>
      </c>
      <c r="R568" s="1" t="str">
        <f t="shared" si="48"/>
        <v>Sep</v>
      </c>
      <c r="S568" s="28">
        <f t="shared" si="52"/>
        <v>24.5</v>
      </c>
      <c r="T568" s="28">
        <f t="shared" si="53"/>
        <v>14.072800000000001</v>
      </c>
      <c r="U568" s="11">
        <f t="shared" si="49"/>
        <v>0.36483739837398377</v>
      </c>
      <c r="V568" s="1" t="str">
        <f t="shared" si="50"/>
        <v>Slow</v>
      </c>
      <c r="W568" s="1" t="str">
        <f t="shared" si="51"/>
        <v>OK</v>
      </c>
    </row>
    <row r="569" spans="1:23">
      <c r="A569" s="1">
        <v>57187</v>
      </c>
      <c r="B569" s="10">
        <v>45924</v>
      </c>
      <c r="C569" s="1">
        <v>13</v>
      </c>
      <c r="D569" s="1" t="s">
        <v>57</v>
      </c>
      <c r="E569" s="1" t="s">
        <v>87</v>
      </c>
      <c r="F569" s="1" t="s">
        <v>79</v>
      </c>
      <c r="G569" s="1" t="s">
        <v>81</v>
      </c>
      <c r="H569" s="1" t="s">
        <v>90</v>
      </c>
      <c r="I569" s="1" t="s">
        <v>185</v>
      </c>
      <c r="J569" s="24">
        <v>54.52</v>
      </c>
      <c r="K569" s="24">
        <v>100.97</v>
      </c>
      <c r="L569" s="28">
        <v>46.45</v>
      </c>
      <c r="M569" s="1">
        <v>45</v>
      </c>
      <c r="N569" s="28">
        <v>4543.6499999999996</v>
      </c>
      <c r="O569" s="29">
        <v>0.03</v>
      </c>
      <c r="P569" s="28">
        <v>136.30950000000001</v>
      </c>
      <c r="Q569" s="28">
        <v>4407.3404999999993</v>
      </c>
      <c r="R569" s="1" t="str">
        <f t="shared" si="48"/>
        <v>Sep</v>
      </c>
      <c r="S569" s="28">
        <f t="shared" si="52"/>
        <v>2453.4</v>
      </c>
      <c r="T569" s="28">
        <f t="shared" si="53"/>
        <v>1953.9404999999992</v>
      </c>
      <c r="U569" s="11">
        <f t="shared" si="49"/>
        <v>0.44333776798048607</v>
      </c>
      <c r="V569" s="1" t="str">
        <f t="shared" si="50"/>
        <v>Slow</v>
      </c>
      <c r="W569" s="1" t="str">
        <f t="shared" si="51"/>
        <v>OK</v>
      </c>
    </row>
    <row r="570" spans="1:23">
      <c r="A570" s="1">
        <v>57188</v>
      </c>
      <c r="B570" s="10">
        <v>45925</v>
      </c>
      <c r="C570" s="1">
        <v>10</v>
      </c>
      <c r="D570" s="1" t="s">
        <v>57</v>
      </c>
      <c r="E570" s="1" t="s">
        <v>72</v>
      </c>
      <c r="F570" s="1" t="s">
        <v>98</v>
      </c>
      <c r="G570" s="1" t="s">
        <v>60</v>
      </c>
      <c r="H570" s="1" t="s">
        <v>90</v>
      </c>
      <c r="I570" s="1" t="s">
        <v>106</v>
      </c>
      <c r="J570" s="24">
        <v>1.17</v>
      </c>
      <c r="K570" s="24">
        <v>2.78</v>
      </c>
      <c r="L570" s="28">
        <v>1.61</v>
      </c>
      <c r="M570" s="1">
        <v>7</v>
      </c>
      <c r="N570" s="28">
        <v>19.46</v>
      </c>
      <c r="O570" s="29">
        <v>0.01</v>
      </c>
      <c r="P570" s="28">
        <v>0.1946</v>
      </c>
      <c r="Q570" s="28">
        <v>19.2654</v>
      </c>
      <c r="R570" s="1" t="str">
        <f t="shared" si="48"/>
        <v>Sep</v>
      </c>
      <c r="S570" s="28">
        <f t="shared" si="52"/>
        <v>8.19</v>
      </c>
      <c r="T570" s="28">
        <f t="shared" si="53"/>
        <v>11.0754</v>
      </c>
      <c r="U570" s="11">
        <f t="shared" si="49"/>
        <v>0.57488554610856768</v>
      </c>
      <c r="V570" s="1" t="str">
        <f t="shared" si="50"/>
        <v>Slow</v>
      </c>
      <c r="W570" s="1" t="str">
        <f t="shared" si="51"/>
        <v>OK</v>
      </c>
    </row>
    <row r="571" spans="1:23">
      <c r="A571" s="1">
        <v>57189</v>
      </c>
      <c r="B571" s="10">
        <v>45925</v>
      </c>
      <c r="C571" s="1">
        <v>11</v>
      </c>
      <c r="D571" s="1" t="s">
        <v>78</v>
      </c>
      <c r="E571" s="1" t="s">
        <v>72</v>
      </c>
      <c r="F571" s="1" t="s">
        <v>64</v>
      </c>
      <c r="G571" s="1" t="s">
        <v>60</v>
      </c>
      <c r="H571" s="1" t="s">
        <v>90</v>
      </c>
      <c r="I571" s="1" t="s">
        <v>126</v>
      </c>
      <c r="J571" s="24">
        <v>1.0900000000000001</v>
      </c>
      <c r="K571" s="24">
        <v>2.6</v>
      </c>
      <c r="L571" s="28">
        <v>1.51</v>
      </c>
      <c r="M571" s="1">
        <v>42</v>
      </c>
      <c r="N571" s="28">
        <v>109.2</v>
      </c>
      <c r="O571" s="29">
        <v>0.06</v>
      </c>
      <c r="P571" s="28">
        <v>6.5519999999999996</v>
      </c>
      <c r="Q571" s="28">
        <v>102.648</v>
      </c>
      <c r="R571" s="1" t="str">
        <f t="shared" si="48"/>
        <v>Sep</v>
      </c>
      <c r="S571" s="28">
        <f t="shared" si="52"/>
        <v>45.78</v>
      </c>
      <c r="T571" s="28">
        <f t="shared" si="53"/>
        <v>56.867999999999995</v>
      </c>
      <c r="U571" s="11">
        <f t="shared" si="49"/>
        <v>0.55400981996726673</v>
      </c>
      <c r="V571" s="1" t="str">
        <f t="shared" si="50"/>
        <v>Slow</v>
      </c>
      <c r="W571" s="1" t="str">
        <f t="shared" si="51"/>
        <v>OK</v>
      </c>
    </row>
    <row r="572" spans="1:23">
      <c r="A572" s="1">
        <v>57190</v>
      </c>
      <c r="B572" s="10">
        <v>45926</v>
      </c>
      <c r="C572" s="1">
        <v>11</v>
      </c>
      <c r="D572" s="1" t="s">
        <v>63</v>
      </c>
      <c r="E572" s="1" t="s">
        <v>58</v>
      </c>
      <c r="F572" s="1" t="s">
        <v>84</v>
      </c>
      <c r="G572" s="1" t="s">
        <v>60</v>
      </c>
      <c r="H572" s="1" t="s">
        <v>65</v>
      </c>
      <c r="I572" s="1" t="s">
        <v>114</v>
      </c>
      <c r="J572" s="24">
        <v>2.59</v>
      </c>
      <c r="K572" s="24">
        <v>3.98</v>
      </c>
      <c r="L572" s="28">
        <v>1.39</v>
      </c>
      <c r="M572" s="1">
        <v>15</v>
      </c>
      <c r="N572" s="28">
        <v>59.7</v>
      </c>
      <c r="O572" s="29">
        <v>0.09</v>
      </c>
      <c r="P572" s="28">
        <v>5.3730000000000002</v>
      </c>
      <c r="Q572" s="28">
        <v>54.327000000000012</v>
      </c>
      <c r="R572" s="1" t="str">
        <f t="shared" si="48"/>
        <v>Sep</v>
      </c>
      <c r="S572" s="28">
        <f t="shared" si="52"/>
        <v>38.849999999999994</v>
      </c>
      <c r="T572" s="28">
        <f t="shared" si="53"/>
        <v>15.477000000000018</v>
      </c>
      <c r="U572" s="11">
        <f t="shared" si="49"/>
        <v>0.28488596830305402</v>
      </c>
      <c r="V572" s="1" t="str">
        <f t="shared" si="50"/>
        <v>Slow</v>
      </c>
      <c r="W572" s="1" t="str">
        <f t="shared" si="51"/>
        <v>OK</v>
      </c>
    </row>
    <row r="573" spans="1:23">
      <c r="A573" s="1">
        <v>57191</v>
      </c>
      <c r="B573" s="10">
        <v>45926</v>
      </c>
      <c r="C573" s="1">
        <v>14</v>
      </c>
      <c r="D573" s="1" t="s">
        <v>57</v>
      </c>
      <c r="E573" s="1" t="s">
        <v>72</v>
      </c>
      <c r="F573" s="1" t="s">
        <v>83</v>
      </c>
      <c r="G573" s="1" t="s">
        <v>60</v>
      </c>
      <c r="H573" s="1" t="s">
        <v>70</v>
      </c>
      <c r="I573" s="1" t="s">
        <v>133</v>
      </c>
      <c r="J573" s="24">
        <v>3.65</v>
      </c>
      <c r="K573" s="24">
        <v>5.98</v>
      </c>
      <c r="L573" s="28">
        <v>2.330000000000001</v>
      </c>
      <c r="M573" s="1">
        <v>31</v>
      </c>
      <c r="N573" s="28">
        <v>185.38</v>
      </c>
      <c r="O573" s="29">
        <v>0.1</v>
      </c>
      <c r="P573" s="28">
        <v>18.538</v>
      </c>
      <c r="Q573" s="28">
        <v>166.84200000000001</v>
      </c>
      <c r="R573" s="1" t="str">
        <f t="shared" si="48"/>
        <v>Sep</v>
      </c>
      <c r="S573" s="28">
        <f t="shared" si="52"/>
        <v>113.14999999999999</v>
      </c>
      <c r="T573" s="28">
        <f t="shared" si="53"/>
        <v>53.692000000000021</v>
      </c>
      <c r="U573" s="11">
        <f t="shared" si="49"/>
        <v>0.32181345224823499</v>
      </c>
      <c r="V573" s="1" t="str">
        <f t="shared" si="50"/>
        <v>Slow</v>
      </c>
      <c r="W573" s="1" t="str">
        <f t="shared" si="51"/>
        <v>OK</v>
      </c>
    </row>
    <row r="574" spans="1:23">
      <c r="A574" s="1">
        <v>57192</v>
      </c>
      <c r="B574" s="10">
        <v>45927</v>
      </c>
      <c r="C574" s="1">
        <v>18</v>
      </c>
      <c r="D574" s="1" t="s">
        <v>78</v>
      </c>
      <c r="E574" s="1" t="s">
        <v>72</v>
      </c>
      <c r="F574" s="1" t="s">
        <v>18</v>
      </c>
      <c r="G574" s="1" t="s">
        <v>60</v>
      </c>
      <c r="H574" s="1" t="s">
        <v>61</v>
      </c>
      <c r="I574" s="1" t="s">
        <v>202</v>
      </c>
      <c r="J574" s="24">
        <v>52.04</v>
      </c>
      <c r="K574" s="24">
        <v>83.93</v>
      </c>
      <c r="L574" s="28">
        <v>31.890000000000011</v>
      </c>
      <c r="M574" s="1">
        <v>32</v>
      </c>
      <c r="N574" s="28">
        <v>2685.76</v>
      </c>
      <c r="O574" s="29">
        <v>0.03</v>
      </c>
      <c r="P574" s="28">
        <v>80.572800000000001</v>
      </c>
      <c r="Q574" s="28">
        <v>2605.1871999999998</v>
      </c>
      <c r="R574" s="1" t="str">
        <f t="shared" si="48"/>
        <v>Sep</v>
      </c>
      <c r="S574" s="28">
        <f t="shared" si="52"/>
        <v>1665.28</v>
      </c>
      <c r="T574" s="28">
        <f t="shared" si="53"/>
        <v>939.90719999999988</v>
      </c>
      <c r="U574" s="11">
        <f t="shared" si="49"/>
        <v>0.36078297943426096</v>
      </c>
      <c r="V574" s="1" t="str">
        <f t="shared" si="50"/>
        <v>Very Slow</v>
      </c>
      <c r="W574" s="1" t="str">
        <f t="shared" si="51"/>
        <v>OK</v>
      </c>
    </row>
    <row r="575" spans="1:23">
      <c r="A575" s="1">
        <v>57193</v>
      </c>
      <c r="B575" s="10">
        <v>45927</v>
      </c>
      <c r="C575" s="1">
        <v>6</v>
      </c>
      <c r="D575" s="1" t="s">
        <v>57</v>
      </c>
      <c r="E575" s="1" t="s">
        <v>72</v>
      </c>
      <c r="F575" s="1" t="s">
        <v>64</v>
      </c>
      <c r="G575" s="1" t="s">
        <v>60</v>
      </c>
      <c r="H575" s="1" t="s">
        <v>90</v>
      </c>
      <c r="I575" s="1" t="s">
        <v>134</v>
      </c>
      <c r="J575" s="24">
        <v>5.33</v>
      </c>
      <c r="K575" s="24">
        <v>8.6</v>
      </c>
      <c r="L575" s="28">
        <v>3.27</v>
      </c>
      <c r="M575" s="1">
        <v>18</v>
      </c>
      <c r="N575" s="28">
        <v>154.80000000000001</v>
      </c>
      <c r="O575" s="29">
        <v>0.04</v>
      </c>
      <c r="P575" s="28">
        <v>6.1919999999999993</v>
      </c>
      <c r="Q575" s="28">
        <v>148.608</v>
      </c>
      <c r="R575" s="1" t="str">
        <f t="shared" si="48"/>
        <v>Sep</v>
      </c>
      <c r="S575" s="28">
        <f t="shared" si="52"/>
        <v>95.94</v>
      </c>
      <c r="T575" s="28">
        <f t="shared" si="53"/>
        <v>52.668000000000006</v>
      </c>
      <c r="U575" s="11">
        <f t="shared" si="49"/>
        <v>0.35440891472868219</v>
      </c>
      <c r="V575" s="1" t="str">
        <f t="shared" si="50"/>
        <v>Standard</v>
      </c>
      <c r="W575" s="1" t="str">
        <f t="shared" si="51"/>
        <v>OK</v>
      </c>
    </row>
    <row r="576" spans="1:23">
      <c r="A576" s="1">
        <v>57194</v>
      </c>
      <c r="B576" s="10">
        <v>45927</v>
      </c>
      <c r="C576" s="1">
        <v>21</v>
      </c>
      <c r="D576" s="1" t="s">
        <v>57</v>
      </c>
      <c r="E576" s="1" t="s">
        <v>67</v>
      </c>
      <c r="F576" s="1" t="s">
        <v>73</v>
      </c>
      <c r="G576" s="1" t="s">
        <v>60</v>
      </c>
      <c r="H576" s="1" t="s">
        <v>65</v>
      </c>
      <c r="I576" s="1" t="s">
        <v>118</v>
      </c>
      <c r="J576" s="24">
        <v>3.32</v>
      </c>
      <c r="K576" s="24">
        <v>5.18</v>
      </c>
      <c r="L576" s="28">
        <v>1.86</v>
      </c>
      <c r="M576" s="1">
        <v>16</v>
      </c>
      <c r="N576" s="28">
        <v>82.88</v>
      </c>
      <c r="O576" s="29">
        <v>0.02</v>
      </c>
      <c r="P576" s="28">
        <v>1.6576</v>
      </c>
      <c r="Q576" s="28">
        <v>81.222399999999993</v>
      </c>
      <c r="R576" s="1" t="str">
        <f t="shared" si="48"/>
        <v>Sep</v>
      </c>
      <c r="S576" s="28">
        <f t="shared" si="52"/>
        <v>53.12</v>
      </c>
      <c r="T576" s="28">
        <f t="shared" si="53"/>
        <v>28.102399999999996</v>
      </c>
      <c r="U576" s="11">
        <f t="shared" si="49"/>
        <v>0.34599322354424394</v>
      </c>
      <c r="V576" s="1" t="str">
        <f t="shared" si="50"/>
        <v>Very Slow</v>
      </c>
      <c r="W576" s="1" t="str">
        <f t="shared" si="51"/>
        <v>OK</v>
      </c>
    </row>
    <row r="577" spans="1:23">
      <c r="A577" s="1">
        <v>57195</v>
      </c>
      <c r="B577" s="10">
        <v>45928</v>
      </c>
      <c r="C577" s="1">
        <v>1</v>
      </c>
      <c r="D577" s="1" t="s">
        <v>57</v>
      </c>
      <c r="E577" s="1" t="s">
        <v>58</v>
      </c>
      <c r="F577" s="1" t="s">
        <v>18</v>
      </c>
      <c r="G577" s="1" t="s">
        <v>60</v>
      </c>
      <c r="H577" s="1" t="s">
        <v>90</v>
      </c>
      <c r="I577" s="1" t="s">
        <v>94</v>
      </c>
      <c r="J577" s="24">
        <v>2.4500000000000002</v>
      </c>
      <c r="K577" s="24">
        <v>3.89</v>
      </c>
      <c r="L577" s="28">
        <v>1.44</v>
      </c>
      <c r="M577" s="1">
        <v>19</v>
      </c>
      <c r="N577" s="28">
        <v>73.91</v>
      </c>
      <c r="O577" s="29">
        <v>0.04</v>
      </c>
      <c r="P577" s="28">
        <v>2.9563999999999999</v>
      </c>
      <c r="Q577" s="28">
        <v>70.953599999999994</v>
      </c>
      <c r="R577" s="1" t="str">
        <f t="shared" si="48"/>
        <v>Sep</v>
      </c>
      <c r="S577" s="28">
        <f t="shared" si="52"/>
        <v>46.550000000000004</v>
      </c>
      <c r="T577" s="28">
        <f t="shared" si="53"/>
        <v>24.40359999999999</v>
      </c>
      <c r="U577" s="11">
        <f t="shared" si="49"/>
        <v>0.34393744644387308</v>
      </c>
      <c r="V577" s="1" t="str">
        <f t="shared" si="50"/>
        <v>Fast</v>
      </c>
      <c r="W577" s="1" t="str">
        <f t="shared" si="51"/>
        <v>OK</v>
      </c>
    </row>
    <row r="578" spans="1:23">
      <c r="A578" s="1">
        <v>57196</v>
      </c>
      <c r="B578" s="10">
        <v>45929</v>
      </c>
      <c r="C578" s="1">
        <v>1</v>
      </c>
      <c r="D578" s="1" t="s">
        <v>57</v>
      </c>
      <c r="E578" s="1" t="s">
        <v>58</v>
      </c>
      <c r="F578" s="1" t="s">
        <v>88</v>
      </c>
      <c r="G578" s="1" t="s">
        <v>60</v>
      </c>
      <c r="H578" s="1" t="s">
        <v>61</v>
      </c>
      <c r="I578" s="1" t="s">
        <v>219</v>
      </c>
      <c r="J578" s="24">
        <v>2.76</v>
      </c>
      <c r="K578" s="24">
        <v>4.38</v>
      </c>
      <c r="L578" s="28">
        <v>1.62</v>
      </c>
      <c r="M578" s="1">
        <v>20</v>
      </c>
      <c r="N578" s="28">
        <v>87.6</v>
      </c>
      <c r="O578" s="29">
        <v>0.02</v>
      </c>
      <c r="P578" s="28">
        <v>1.752</v>
      </c>
      <c r="Q578" s="28">
        <v>85.847999999999999</v>
      </c>
      <c r="R578" s="1" t="str">
        <f t="shared" si="48"/>
        <v>Sep</v>
      </c>
      <c r="S578" s="28">
        <f t="shared" si="52"/>
        <v>55.199999999999996</v>
      </c>
      <c r="T578" s="28">
        <f t="shared" si="53"/>
        <v>30.648000000000003</v>
      </c>
      <c r="U578" s="11">
        <f t="shared" si="49"/>
        <v>0.35700307520268387</v>
      </c>
      <c r="V578" s="1" t="str">
        <f t="shared" si="50"/>
        <v>Fast</v>
      </c>
      <c r="W578" s="1" t="str">
        <f t="shared" si="51"/>
        <v>OK</v>
      </c>
    </row>
    <row r="579" spans="1:23">
      <c r="A579" s="1">
        <v>57197</v>
      </c>
      <c r="B579" s="10">
        <v>45929</v>
      </c>
      <c r="C579" s="1">
        <v>11</v>
      </c>
      <c r="D579" s="1" t="s">
        <v>57</v>
      </c>
      <c r="E579" s="1" t="s">
        <v>72</v>
      </c>
      <c r="F579" s="1" t="s">
        <v>88</v>
      </c>
      <c r="G579" s="1" t="s">
        <v>60</v>
      </c>
      <c r="H579" s="1" t="s">
        <v>61</v>
      </c>
      <c r="I579" s="1" t="s">
        <v>158</v>
      </c>
      <c r="J579" s="24">
        <v>4.0999999999999996</v>
      </c>
      <c r="K579" s="24">
        <v>9.31</v>
      </c>
      <c r="L579" s="28">
        <v>5.2100000000000009</v>
      </c>
      <c r="M579" s="1">
        <v>33</v>
      </c>
      <c r="N579" s="28">
        <v>307.23</v>
      </c>
      <c r="O579" s="29">
        <v>0.03</v>
      </c>
      <c r="P579" s="28">
        <v>9.2169000000000008</v>
      </c>
      <c r="Q579" s="28">
        <v>298.01310000000001</v>
      </c>
      <c r="R579" s="1" t="str">
        <f t="shared" si="48"/>
        <v>Sep</v>
      </c>
      <c r="S579" s="28">
        <f t="shared" si="52"/>
        <v>135.29999999999998</v>
      </c>
      <c r="T579" s="28">
        <f t="shared" si="53"/>
        <v>162.71310000000003</v>
      </c>
      <c r="U579" s="11">
        <f t="shared" si="49"/>
        <v>0.54599311238331472</v>
      </c>
      <c r="V579" s="1" t="str">
        <f t="shared" si="50"/>
        <v>Slow</v>
      </c>
      <c r="W579" s="1" t="str">
        <f t="shared" si="51"/>
        <v>OK</v>
      </c>
    </row>
    <row r="580" spans="1:23">
      <c r="A580" s="1">
        <v>57198</v>
      </c>
      <c r="B580" s="10">
        <v>45930</v>
      </c>
      <c r="C580" s="1">
        <v>14</v>
      </c>
      <c r="D580" s="1" t="s">
        <v>57</v>
      </c>
      <c r="E580" s="1" t="s">
        <v>87</v>
      </c>
      <c r="F580" s="1" t="s">
        <v>98</v>
      </c>
      <c r="G580" s="1" t="s">
        <v>81</v>
      </c>
      <c r="H580" s="1" t="s">
        <v>90</v>
      </c>
      <c r="I580" s="1" t="s">
        <v>147</v>
      </c>
      <c r="J580" s="24">
        <v>377.99</v>
      </c>
      <c r="K580" s="24">
        <v>599.99</v>
      </c>
      <c r="L580" s="28">
        <v>222</v>
      </c>
      <c r="M580" s="1">
        <v>43</v>
      </c>
      <c r="N580" s="28">
        <v>25799.57</v>
      </c>
      <c r="O580" s="29">
        <v>7.0000000000000007E-2</v>
      </c>
      <c r="P580" s="28">
        <v>1805.9699000000001</v>
      </c>
      <c r="Q580" s="28">
        <v>23993.6001</v>
      </c>
      <c r="R580" s="1" t="str">
        <f t="shared" si="48"/>
        <v>Sep</v>
      </c>
      <c r="S580" s="28">
        <f t="shared" si="52"/>
        <v>16253.57</v>
      </c>
      <c r="T580" s="28">
        <f t="shared" si="53"/>
        <v>7740.0300999999999</v>
      </c>
      <c r="U580" s="11">
        <f t="shared" si="49"/>
        <v>0.32258727609617865</v>
      </c>
      <c r="V580" s="1" t="str">
        <f t="shared" si="50"/>
        <v>Slow</v>
      </c>
      <c r="W580" s="1" t="str">
        <f t="shared" si="51"/>
        <v>OK</v>
      </c>
    </row>
    <row r="581" spans="1:23">
      <c r="A581" s="1">
        <v>57199</v>
      </c>
      <c r="B581" s="10">
        <v>45930</v>
      </c>
      <c r="C581" s="1">
        <v>11</v>
      </c>
      <c r="D581" s="1" t="s">
        <v>57</v>
      </c>
      <c r="E581" s="1" t="s">
        <v>67</v>
      </c>
      <c r="F581" s="1" t="s">
        <v>88</v>
      </c>
      <c r="G581" s="1" t="s">
        <v>60</v>
      </c>
      <c r="H581" s="1" t="s">
        <v>90</v>
      </c>
      <c r="I581" s="1" t="s">
        <v>89</v>
      </c>
      <c r="J581" s="24">
        <v>1.76</v>
      </c>
      <c r="K581" s="24">
        <v>2.94</v>
      </c>
      <c r="L581" s="28">
        <v>1.18</v>
      </c>
      <c r="M581" s="1">
        <v>36</v>
      </c>
      <c r="N581" s="28">
        <v>105.84</v>
      </c>
      <c r="O581" s="29">
        <v>0.04</v>
      </c>
      <c r="P581" s="28">
        <v>4.2336</v>
      </c>
      <c r="Q581" s="28">
        <v>101.60639999999999</v>
      </c>
      <c r="R581" s="1" t="str">
        <f t="shared" ref="R581:R644" si="54">TEXT(B581,"mmm")</f>
        <v>Sep</v>
      </c>
      <c r="S581" s="28">
        <f t="shared" si="52"/>
        <v>63.36</v>
      </c>
      <c r="T581" s="28">
        <f t="shared" si="53"/>
        <v>38.246399999999994</v>
      </c>
      <c r="U581" s="11">
        <f t="shared" ref="U581:U644" si="55">IF(Q581=0,0,T581/Q581)</f>
        <v>0.37641723356009066</v>
      </c>
      <c r="V581" s="1" t="str">
        <f t="shared" ref="V581:V644" si="56">IF(C581&lt;=3,"Fast",IF(C581&lt;=7,"Standard",IF(C581&lt;=14,"Slow","Very Slow")))</f>
        <v>Slow</v>
      </c>
      <c r="W581" s="1" t="str">
        <f t="shared" ref="W581:W644" si="57">IF(OR(H581="Not Specifiedd",P581&lt;0),"Review","OK")</f>
        <v>OK</v>
      </c>
    </row>
    <row r="582" spans="1:23">
      <c r="A582" s="1">
        <v>57200</v>
      </c>
      <c r="B582" s="10">
        <v>45930</v>
      </c>
      <c r="C582" s="1">
        <v>19</v>
      </c>
      <c r="D582" s="1" t="s">
        <v>78</v>
      </c>
      <c r="E582" s="1" t="s">
        <v>72</v>
      </c>
      <c r="F582" s="1" t="s">
        <v>96</v>
      </c>
      <c r="G582" s="1" t="s">
        <v>81</v>
      </c>
      <c r="H582" s="1" t="s">
        <v>90</v>
      </c>
      <c r="I582" s="1" t="s">
        <v>113</v>
      </c>
      <c r="J582" s="24">
        <v>10.07</v>
      </c>
      <c r="K582" s="24">
        <v>15.98</v>
      </c>
      <c r="L582" s="28">
        <v>5.91</v>
      </c>
      <c r="M582" s="1">
        <v>8</v>
      </c>
      <c r="N582" s="28">
        <v>127.84</v>
      </c>
      <c r="O582" s="29">
        <v>0.04</v>
      </c>
      <c r="P582" s="28">
        <v>5.1135999999999999</v>
      </c>
      <c r="Q582" s="28">
        <v>122.7264</v>
      </c>
      <c r="R582" s="1" t="str">
        <f t="shared" si="54"/>
        <v>Sep</v>
      </c>
      <c r="S582" s="28">
        <f t="shared" ref="S582:S645" si="58">J582*M582</f>
        <v>80.56</v>
      </c>
      <c r="T582" s="28">
        <f t="shared" ref="T582:T645" si="59">Q582-S582</f>
        <v>42.166399999999996</v>
      </c>
      <c r="U582" s="11">
        <f t="shared" si="55"/>
        <v>0.3435805173133083</v>
      </c>
      <c r="V582" s="1" t="str">
        <f t="shared" si="56"/>
        <v>Very Slow</v>
      </c>
      <c r="W582" s="1" t="str">
        <f t="shared" si="57"/>
        <v>OK</v>
      </c>
    </row>
    <row r="583" spans="1:23">
      <c r="A583" s="1">
        <v>57201</v>
      </c>
      <c r="B583" s="10">
        <v>45931</v>
      </c>
      <c r="C583" s="1">
        <v>11</v>
      </c>
      <c r="D583" s="1" t="s">
        <v>63</v>
      </c>
      <c r="E583" s="1" t="s">
        <v>72</v>
      </c>
      <c r="F583" s="1" t="s">
        <v>84</v>
      </c>
      <c r="G583" s="1" t="s">
        <v>60</v>
      </c>
      <c r="H583" s="1" t="s">
        <v>90</v>
      </c>
      <c r="I583" s="1" t="s">
        <v>142</v>
      </c>
      <c r="J583" s="24">
        <v>2.29</v>
      </c>
      <c r="K583" s="24">
        <v>3.69</v>
      </c>
      <c r="L583" s="28">
        <v>1.4</v>
      </c>
      <c r="M583" s="1">
        <v>15</v>
      </c>
      <c r="N583" s="28">
        <v>55.35</v>
      </c>
      <c r="O583" s="29">
        <v>0.04</v>
      </c>
      <c r="P583" s="28">
        <v>2.214</v>
      </c>
      <c r="Q583" s="28">
        <v>53.136000000000003</v>
      </c>
      <c r="R583" s="1" t="str">
        <f t="shared" si="54"/>
        <v>Oct</v>
      </c>
      <c r="S583" s="28">
        <f t="shared" si="58"/>
        <v>34.35</v>
      </c>
      <c r="T583" s="28">
        <f t="shared" si="59"/>
        <v>18.786000000000001</v>
      </c>
      <c r="U583" s="11">
        <f t="shared" si="55"/>
        <v>0.35354561878952123</v>
      </c>
      <c r="V583" s="1" t="str">
        <f t="shared" si="56"/>
        <v>Slow</v>
      </c>
      <c r="W583" s="1" t="str">
        <f t="shared" si="57"/>
        <v>OK</v>
      </c>
    </row>
    <row r="584" spans="1:23">
      <c r="A584" s="1">
        <v>57202</v>
      </c>
      <c r="B584" s="10">
        <v>45931</v>
      </c>
      <c r="C584" s="1">
        <v>7</v>
      </c>
      <c r="D584" s="1" t="s">
        <v>57</v>
      </c>
      <c r="E584" s="1" t="s">
        <v>72</v>
      </c>
      <c r="F584" s="1" t="s">
        <v>84</v>
      </c>
      <c r="G584" s="1" t="s">
        <v>60</v>
      </c>
      <c r="H584" s="1" t="s">
        <v>68</v>
      </c>
      <c r="I584" s="1" t="s">
        <v>131</v>
      </c>
      <c r="J584" s="24">
        <v>0.24</v>
      </c>
      <c r="K584" s="24">
        <v>1.26</v>
      </c>
      <c r="L584" s="28">
        <v>1.02</v>
      </c>
      <c r="M584" s="1">
        <v>30</v>
      </c>
      <c r="N584" s="28">
        <v>37.799999999999997</v>
      </c>
      <c r="O584" s="29">
        <v>0</v>
      </c>
      <c r="P584" s="28">
        <v>0</v>
      </c>
      <c r="Q584" s="28">
        <v>37.799999999999997</v>
      </c>
      <c r="R584" s="1" t="str">
        <f t="shared" si="54"/>
        <v>Oct</v>
      </c>
      <c r="S584" s="28">
        <f t="shared" si="58"/>
        <v>7.1999999999999993</v>
      </c>
      <c r="T584" s="28">
        <f t="shared" si="59"/>
        <v>30.599999999999998</v>
      </c>
      <c r="U584" s="11">
        <f t="shared" si="55"/>
        <v>0.80952380952380953</v>
      </c>
      <c r="V584" s="1" t="str">
        <f t="shared" si="56"/>
        <v>Standard</v>
      </c>
      <c r="W584" s="1" t="str">
        <f t="shared" si="57"/>
        <v>OK</v>
      </c>
    </row>
    <row r="585" spans="1:23">
      <c r="A585" s="1">
        <v>57203</v>
      </c>
      <c r="B585" s="10">
        <v>45931</v>
      </c>
      <c r="C585" s="1">
        <v>11</v>
      </c>
      <c r="D585" s="1" t="s">
        <v>78</v>
      </c>
      <c r="E585" s="1" t="s">
        <v>87</v>
      </c>
      <c r="F585" s="1" t="s">
        <v>18</v>
      </c>
      <c r="G585" s="1" t="s">
        <v>81</v>
      </c>
      <c r="H585" s="1" t="s">
        <v>61</v>
      </c>
      <c r="I585" s="1" t="s">
        <v>212</v>
      </c>
      <c r="J585" s="24">
        <v>6.51</v>
      </c>
      <c r="K585" s="24">
        <v>30.98</v>
      </c>
      <c r="L585" s="28">
        <v>24.47</v>
      </c>
      <c r="M585" s="1">
        <v>8</v>
      </c>
      <c r="N585" s="28">
        <v>247.84</v>
      </c>
      <c r="O585" s="29">
        <v>0.06</v>
      </c>
      <c r="P585" s="28">
        <v>14.8704</v>
      </c>
      <c r="Q585" s="28">
        <v>232.96960000000001</v>
      </c>
      <c r="R585" s="1" t="str">
        <f t="shared" si="54"/>
        <v>Oct</v>
      </c>
      <c r="S585" s="28">
        <f t="shared" si="58"/>
        <v>52.08</v>
      </c>
      <c r="T585" s="28">
        <f t="shared" si="59"/>
        <v>180.88960000000003</v>
      </c>
      <c r="U585" s="11">
        <f t="shared" si="55"/>
        <v>0.77645151985495109</v>
      </c>
      <c r="V585" s="1" t="str">
        <f t="shared" si="56"/>
        <v>Slow</v>
      </c>
      <c r="W585" s="1" t="str">
        <f t="shared" si="57"/>
        <v>OK</v>
      </c>
    </row>
    <row r="586" spans="1:23">
      <c r="A586" s="1">
        <v>57204</v>
      </c>
      <c r="B586" s="10">
        <v>45931</v>
      </c>
      <c r="C586" s="1">
        <v>20</v>
      </c>
      <c r="D586" s="1" t="s">
        <v>57</v>
      </c>
      <c r="E586" s="1" t="s">
        <v>67</v>
      </c>
      <c r="F586" s="1" t="s">
        <v>18</v>
      </c>
      <c r="G586" s="1" t="s">
        <v>60</v>
      </c>
      <c r="H586" s="1" t="s">
        <v>65</v>
      </c>
      <c r="I586" s="1" t="s">
        <v>131</v>
      </c>
      <c r="J586" s="24">
        <v>0.24</v>
      </c>
      <c r="K586" s="24">
        <v>1.26</v>
      </c>
      <c r="L586" s="28">
        <v>1.02</v>
      </c>
      <c r="M586" s="1">
        <v>3</v>
      </c>
      <c r="N586" s="28">
        <v>3.78</v>
      </c>
      <c r="O586" s="29">
        <v>0.06</v>
      </c>
      <c r="P586" s="28">
        <v>0.2268</v>
      </c>
      <c r="Q586" s="28">
        <v>3.5531999999999999</v>
      </c>
      <c r="R586" s="1" t="str">
        <f t="shared" si="54"/>
        <v>Oct</v>
      </c>
      <c r="S586" s="28">
        <f t="shared" si="58"/>
        <v>0.72</v>
      </c>
      <c r="T586" s="28">
        <f t="shared" si="59"/>
        <v>2.8331999999999997</v>
      </c>
      <c r="U586" s="11">
        <f t="shared" si="55"/>
        <v>0.79736575481256322</v>
      </c>
      <c r="V586" s="1" t="str">
        <f t="shared" si="56"/>
        <v>Very Slow</v>
      </c>
      <c r="W586" s="1" t="str">
        <f t="shared" si="57"/>
        <v>OK</v>
      </c>
    </row>
    <row r="587" spans="1:23">
      <c r="A587" s="1">
        <v>57205</v>
      </c>
      <c r="B587" s="10">
        <v>45931</v>
      </c>
      <c r="C587" s="1">
        <v>7</v>
      </c>
      <c r="D587" s="1" t="s">
        <v>78</v>
      </c>
      <c r="E587" s="1" t="s">
        <v>67</v>
      </c>
      <c r="F587" s="1" t="s">
        <v>73</v>
      </c>
      <c r="G587" s="1" t="s">
        <v>60</v>
      </c>
      <c r="H587" s="1" t="s">
        <v>65</v>
      </c>
      <c r="I587" s="1" t="s">
        <v>184</v>
      </c>
      <c r="J587" s="24">
        <v>21.56</v>
      </c>
      <c r="K587" s="24">
        <v>36.549999999999997</v>
      </c>
      <c r="L587" s="28">
        <v>14.99</v>
      </c>
      <c r="M587" s="1">
        <v>28</v>
      </c>
      <c r="N587" s="28">
        <v>1023.4</v>
      </c>
      <c r="O587" s="29">
        <v>7.0000000000000007E-2</v>
      </c>
      <c r="P587" s="28">
        <v>71.637999999999991</v>
      </c>
      <c r="Q587" s="28">
        <v>951.76199999999983</v>
      </c>
      <c r="R587" s="1" t="str">
        <f t="shared" si="54"/>
        <v>Oct</v>
      </c>
      <c r="S587" s="28">
        <f t="shared" si="58"/>
        <v>603.67999999999995</v>
      </c>
      <c r="T587" s="28">
        <f t="shared" si="59"/>
        <v>348.08199999999988</v>
      </c>
      <c r="U587" s="11">
        <f t="shared" si="55"/>
        <v>0.36572378388714821</v>
      </c>
      <c r="V587" s="1" t="str">
        <f t="shared" si="56"/>
        <v>Standard</v>
      </c>
      <c r="W587" s="1" t="str">
        <f t="shared" si="57"/>
        <v>OK</v>
      </c>
    </row>
    <row r="588" spans="1:23">
      <c r="A588" s="1">
        <v>57206</v>
      </c>
      <c r="B588" s="10">
        <v>45931</v>
      </c>
      <c r="C588" s="1">
        <v>18</v>
      </c>
      <c r="D588" s="1" t="s">
        <v>57</v>
      </c>
      <c r="E588" s="1" t="s">
        <v>72</v>
      </c>
      <c r="F588" s="1" t="s">
        <v>59</v>
      </c>
      <c r="G588" s="1" t="s">
        <v>60</v>
      </c>
      <c r="H588" s="1" t="s">
        <v>68</v>
      </c>
      <c r="I588" s="1" t="s">
        <v>201</v>
      </c>
      <c r="J588" s="24">
        <v>3.75</v>
      </c>
      <c r="K588" s="24">
        <v>7.08</v>
      </c>
      <c r="L588" s="28">
        <v>3.33</v>
      </c>
      <c r="M588" s="1">
        <v>56</v>
      </c>
      <c r="N588" s="28">
        <v>396.48</v>
      </c>
      <c r="O588" s="29">
        <v>0.1</v>
      </c>
      <c r="P588" s="28">
        <v>39.648000000000003</v>
      </c>
      <c r="Q588" s="28">
        <v>356.83199999999999</v>
      </c>
      <c r="R588" s="1" t="str">
        <f t="shared" si="54"/>
        <v>Oct</v>
      </c>
      <c r="S588" s="28">
        <f t="shared" si="58"/>
        <v>210</v>
      </c>
      <c r="T588" s="28">
        <f t="shared" si="59"/>
        <v>146.83199999999999</v>
      </c>
      <c r="U588" s="11">
        <f t="shared" si="55"/>
        <v>0.41148775894538603</v>
      </c>
      <c r="V588" s="1" t="str">
        <f t="shared" si="56"/>
        <v>Very Slow</v>
      </c>
      <c r="W588" s="1" t="str">
        <f t="shared" si="57"/>
        <v>OK</v>
      </c>
    </row>
    <row r="589" spans="1:23">
      <c r="A589" s="1">
        <v>57207</v>
      </c>
      <c r="B589" s="10">
        <v>45931</v>
      </c>
      <c r="C589" s="1">
        <v>23</v>
      </c>
      <c r="D589" s="1" t="s">
        <v>78</v>
      </c>
      <c r="E589" s="1" t="s">
        <v>72</v>
      </c>
      <c r="F589" s="1" t="s">
        <v>64</v>
      </c>
      <c r="G589" s="1" t="s">
        <v>60</v>
      </c>
      <c r="H589" s="1" t="s">
        <v>90</v>
      </c>
      <c r="I589" s="1" t="s">
        <v>171</v>
      </c>
      <c r="J589" s="24">
        <v>2.9</v>
      </c>
      <c r="K589" s="24">
        <v>4.76</v>
      </c>
      <c r="L589" s="28">
        <v>1.86</v>
      </c>
      <c r="M589" s="1">
        <v>12</v>
      </c>
      <c r="N589" s="28">
        <v>57.12</v>
      </c>
      <c r="O589" s="29">
        <v>0.08</v>
      </c>
      <c r="P589" s="28">
        <v>4.5696000000000003</v>
      </c>
      <c r="Q589" s="28">
        <v>52.550400000000003</v>
      </c>
      <c r="R589" s="1" t="str">
        <f t="shared" si="54"/>
        <v>Oct</v>
      </c>
      <c r="S589" s="28">
        <f t="shared" si="58"/>
        <v>34.799999999999997</v>
      </c>
      <c r="T589" s="28">
        <f t="shared" si="59"/>
        <v>17.750400000000006</v>
      </c>
      <c r="U589" s="11">
        <f t="shared" si="55"/>
        <v>0.33777858969674834</v>
      </c>
      <c r="V589" s="1" t="str">
        <f t="shared" si="56"/>
        <v>Very Slow</v>
      </c>
      <c r="W589" s="1" t="str">
        <f t="shared" si="57"/>
        <v>OK</v>
      </c>
    </row>
    <row r="590" spans="1:23">
      <c r="A590" s="1">
        <v>57208</v>
      </c>
      <c r="B590" s="10">
        <v>45932</v>
      </c>
      <c r="C590" s="1">
        <v>1</v>
      </c>
      <c r="D590" s="1" t="s">
        <v>78</v>
      </c>
      <c r="E590" s="1" t="s">
        <v>67</v>
      </c>
      <c r="F590" s="1" t="s">
        <v>73</v>
      </c>
      <c r="G590" s="1" t="s">
        <v>81</v>
      </c>
      <c r="H590" s="1" t="s">
        <v>70</v>
      </c>
      <c r="I590" s="1" t="s">
        <v>139</v>
      </c>
      <c r="J590" s="24">
        <v>6.39</v>
      </c>
      <c r="K590" s="24">
        <v>19.98</v>
      </c>
      <c r="L590" s="28">
        <v>13.59</v>
      </c>
      <c r="M590" s="1">
        <v>6</v>
      </c>
      <c r="N590" s="28">
        <v>119.88</v>
      </c>
      <c r="O590" s="29">
        <v>0.09</v>
      </c>
      <c r="P590" s="28">
        <v>10.789199999999999</v>
      </c>
      <c r="Q590" s="28">
        <v>109.0908</v>
      </c>
      <c r="R590" s="1" t="str">
        <f t="shared" si="54"/>
        <v>Oct</v>
      </c>
      <c r="S590" s="28">
        <f t="shared" si="58"/>
        <v>38.339999999999996</v>
      </c>
      <c r="T590" s="28">
        <f t="shared" si="59"/>
        <v>70.750799999999998</v>
      </c>
      <c r="U590" s="11">
        <f t="shared" si="55"/>
        <v>0.64854964854964847</v>
      </c>
      <c r="V590" s="1" t="str">
        <f t="shared" si="56"/>
        <v>Fast</v>
      </c>
      <c r="W590" s="1" t="str">
        <f t="shared" si="57"/>
        <v>OK</v>
      </c>
    </row>
    <row r="591" spans="1:23">
      <c r="A591" s="1">
        <v>57209</v>
      </c>
      <c r="B591" s="10">
        <v>45933</v>
      </c>
      <c r="C591" s="1">
        <v>17</v>
      </c>
      <c r="D591" s="1" t="s">
        <v>78</v>
      </c>
      <c r="E591" s="1" t="s">
        <v>58</v>
      </c>
      <c r="F591" s="1" t="s">
        <v>59</v>
      </c>
      <c r="G591" s="1" t="s">
        <v>60</v>
      </c>
      <c r="H591" s="1" t="s">
        <v>68</v>
      </c>
      <c r="I591" s="1" t="s">
        <v>201</v>
      </c>
      <c r="J591" s="24">
        <v>3.75</v>
      </c>
      <c r="K591" s="24">
        <v>7.08</v>
      </c>
      <c r="L591" s="28">
        <v>3.33</v>
      </c>
      <c r="M591" s="1">
        <v>51</v>
      </c>
      <c r="N591" s="28">
        <v>361.08</v>
      </c>
      <c r="O591" s="29">
        <v>0.03</v>
      </c>
      <c r="P591" s="28">
        <v>10.8324</v>
      </c>
      <c r="Q591" s="28">
        <v>350.24759999999998</v>
      </c>
      <c r="R591" s="1" t="str">
        <f t="shared" si="54"/>
        <v>Oct</v>
      </c>
      <c r="S591" s="28">
        <f t="shared" si="58"/>
        <v>191.25</v>
      </c>
      <c r="T591" s="28">
        <f t="shared" si="59"/>
        <v>158.99759999999998</v>
      </c>
      <c r="U591" s="11">
        <f t="shared" si="55"/>
        <v>0.45395771448540972</v>
      </c>
      <c r="V591" s="1" t="str">
        <f t="shared" si="56"/>
        <v>Very Slow</v>
      </c>
      <c r="W591" s="1" t="str">
        <f t="shared" si="57"/>
        <v>OK</v>
      </c>
    </row>
    <row r="592" spans="1:23">
      <c r="A592" s="1">
        <v>57210</v>
      </c>
      <c r="B592" s="10">
        <v>45934</v>
      </c>
      <c r="C592" s="1">
        <v>2</v>
      </c>
      <c r="D592" s="1" t="s">
        <v>78</v>
      </c>
      <c r="E592" s="1" t="s">
        <v>72</v>
      </c>
      <c r="F592" s="1" t="s">
        <v>98</v>
      </c>
      <c r="G592" s="1" t="s">
        <v>60</v>
      </c>
      <c r="H592" s="1" t="s">
        <v>90</v>
      </c>
      <c r="I592" s="1" t="s">
        <v>112</v>
      </c>
      <c r="J592" s="24">
        <v>3.5</v>
      </c>
      <c r="K592" s="24">
        <v>5.74</v>
      </c>
      <c r="L592" s="28">
        <v>2.2400000000000002</v>
      </c>
      <c r="M592" s="1">
        <v>38</v>
      </c>
      <c r="N592" s="28">
        <v>218.12</v>
      </c>
      <c r="O592" s="29">
        <v>0.08</v>
      </c>
      <c r="P592" s="28">
        <v>17.4496</v>
      </c>
      <c r="Q592" s="28">
        <v>200.6704</v>
      </c>
      <c r="R592" s="1" t="str">
        <f t="shared" si="54"/>
        <v>Oct</v>
      </c>
      <c r="S592" s="28">
        <f t="shared" si="58"/>
        <v>133</v>
      </c>
      <c r="T592" s="28">
        <f t="shared" si="59"/>
        <v>67.670400000000001</v>
      </c>
      <c r="U592" s="11">
        <f t="shared" si="55"/>
        <v>0.33722163308589609</v>
      </c>
      <c r="V592" s="1" t="str">
        <f t="shared" si="56"/>
        <v>Fast</v>
      </c>
      <c r="W592" s="1" t="str">
        <f t="shared" si="57"/>
        <v>OK</v>
      </c>
    </row>
    <row r="593" spans="1:23">
      <c r="A593" s="1">
        <v>57211</v>
      </c>
      <c r="B593" s="10">
        <v>45935</v>
      </c>
      <c r="C593" s="1">
        <v>21</v>
      </c>
      <c r="D593" s="1" t="s">
        <v>57</v>
      </c>
      <c r="E593" s="1" t="s">
        <v>58</v>
      </c>
      <c r="F593" s="1" t="s">
        <v>108</v>
      </c>
      <c r="G593" s="1" t="s">
        <v>60</v>
      </c>
      <c r="H593" s="1" t="s">
        <v>70</v>
      </c>
      <c r="I593" s="1" t="s">
        <v>94</v>
      </c>
      <c r="J593" s="24">
        <v>2.4500000000000002</v>
      </c>
      <c r="K593" s="24">
        <v>3.89</v>
      </c>
      <c r="L593" s="28">
        <v>1.44</v>
      </c>
      <c r="M593" s="1">
        <v>33</v>
      </c>
      <c r="N593" s="28">
        <v>128.37</v>
      </c>
      <c r="O593" s="29">
        <v>0.09</v>
      </c>
      <c r="P593" s="28">
        <v>11.5533</v>
      </c>
      <c r="Q593" s="28">
        <v>116.8167</v>
      </c>
      <c r="R593" s="1" t="str">
        <f t="shared" si="54"/>
        <v>Oct</v>
      </c>
      <c r="S593" s="28">
        <f t="shared" si="58"/>
        <v>80.850000000000009</v>
      </c>
      <c r="T593" s="28">
        <f t="shared" si="59"/>
        <v>35.966699999999989</v>
      </c>
      <c r="U593" s="11">
        <f t="shared" si="55"/>
        <v>0.30789005339133863</v>
      </c>
      <c r="V593" s="1" t="str">
        <f t="shared" si="56"/>
        <v>Very Slow</v>
      </c>
      <c r="W593" s="1" t="str">
        <f t="shared" si="57"/>
        <v>OK</v>
      </c>
    </row>
    <row r="594" spans="1:23">
      <c r="A594" s="1">
        <v>57212</v>
      </c>
      <c r="B594" s="10">
        <v>45937</v>
      </c>
      <c r="C594" s="1">
        <v>9</v>
      </c>
      <c r="D594" s="1" t="s">
        <v>57</v>
      </c>
      <c r="E594" s="1" t="s">
        <v>87</v>
      </c>
      <c r="F594" s="1" t="s">
        <v>73</v>
      </c>
      <c r="G594" s="1" t="s">
        <v>60</v>
      </c>
      <c r="H594" s="1" t="s">
        <v>90</v>
      </c>
      <c r="I594" s="1" t="s">
        <v>171</v>
      </c>
      <c r="J594" s="24">
        <v>2.9</v>
      </c>
      <c r="K594" s="24">
        <v>4.76</v>
      </c>
      <c r="L594" s="28">
        <v>1.86</v>
      </c>
      <c r="M594" s="1">
        <v>2</v>
      </c>
      <c r="N594" s="28">
        <v>9.52</v>
      </c>
      <c r="O594" s="29">
        <v>0.02</v>
      </c>
      <c r="P594" s="28">
        <v>0.19040000000000001</v>
      </c>
      <c r="Q594" s="28">
        <v>9.3295999999999992</v>
      </c>
      <c r="R594" s="1" t="str">
        <f t="shared" si="54"/>
        <v>Oct</v>
      </c>
      <c r="S594" s="28">
        <f t="shared" si="58"/>
        <v>5.8</v>
      </c>
      <c r="T594" s="28">
        <f t="shared" si="59"/>
        <v>3.5295999999999994</v>
      </c>
      <c r="U594" s="11">
        <f t="shared" si="55"/>
        <v>0.37832275767449836</v>
      </c>
      <c r="V594" s="1" t="str">
        <f t="shared" si="56"/>
        <v>Slow</v>
      </c>
      <c r="W594" s="1" t="str">
        <f t="shared" si="57"/>
        <v>OK</v>
      </c>
    </row>
    <row r="595" spans="1:23">
      <c r="A595" s="1">
        <v>57213</v>
      </c>
      <c r="B595" s="10">
        <v>45938</v>
      </c>
      <c r="C595" s="1">
        <v>22</v>
      </c>
      <c r="D595" s="1" t="s">
        <v>57</v>
      </c>
      <c r="E595" s="1" t="s">
        <v>87</v>
      </c>
      <c r="F595" s="1" t="s">
        <v>75</v>
      </c>
      <c r="G595" s="1" t="s">
        <v>60</v>
      </c>
      <c r="H595" s="1" t="s">
        <v>90</v>
      </c>
      <c r="I595" s="1" t="s">
        <v>157</v>
      </c>
      <c r="J595" s="24">
        <v>4.53</v>
      </c>
      <c r="K595" s="24">
        <v>7.3</v>
      </c>
      <c r="L595" s="28">
        <v>2.77</v>
      </c>
      <c r="M595" s="1">
        <v>34</v>
      </c>
      <c r="N595" s="28">
        <v>248.2</v>
      </c>
      <c r="O595" s="29">
        <v>0.05</v>
      </c>
      <c r="P595" s="28">
        <v>12.41</v>
      </c>
      <c r="Q595" s="28">
        <v>235.79</v>
      </c>
      <c r="R595" s="1" t="str">
        <f t="shared" si="54"/>
        <v>Oct</v>
      </c>
      <c r="S595" s="28">
        <f t="shared" si="58"/>
        <v>154.02000000000001</v>
      </c>
      <c r="T595" s="28">
        <f t="shared" si="59"/>
        <v>81.769999999999982</v>
      </c>
      <c r="U595" s="11">
        <f t="shared" si="55"/>
        <v>0.34679163662581103</v>
      </c>
      <c r="V595" s="1" t="str">
        <f t="shared" si="56"/>
        <v>Very Slow</v>
      </c>
      <c r="W595" s="1" t="str">
        <f t="shared" si="57"/>
        <v>OK</v>
      </c>
    </row>
    <row r="596" spans="1:23">
      <c r="A596" s="1">
        <v>57214</v>
      </c>
      <c r="B596" s="10">
        <v>45938</v>
      </c>
      <c r="C596" s="1">
        <v>11</v>
      </c>
      <c r="D596" s="1" t="s">
        <v>57</v>
      </c>
      <c r="E596" s="1" t="s">
        <v>72</v>
      </c>
      <c r="F596" s="1" t="s">
        <v>59</v>
      </c>
      <c r="G596" s="1" t="s">
        <v>60</v>
      </c>
      <c r="H596" s="1" t="s">
        <v>70</v>
      </c>
      <c r="I596" s="1" t="s">
        <v>124</v>
      </c>
      <c r="J596" s="24">
        <v>2.25</v>
      </c>
      <c r="K596" s="24">
        <v>3.69</v>
      </c>
      <c r="L596" s="28">
        <v>1.44</v>
      </c>
      <c r="M596" s="1">
        <v>16</v>
      </c>
      <c r="N596" s="28">
        <v>59.04</v>
      </c>
      <c r="O596" s="29">
        <v>0.02</v>
      </c>
      <c r="P596" s="28">
        <v>1.1808000000000001</v>
      </c>
      <c r="Q596" s="28">
        <v>57.859200000000001</v>
      </c>
      <c r="R596" s="1" t="str">
        <f t="shared" si="54"/>
        <v>Oct</v>
      </c>
      <c r="S596" s="28">
        <f t="shared" si="58"/>
        <v>36</v>
      </c>
      <c r="T596" s="28">
        <f t="shared" si="59"/>
        <v>21.859200000000001</v>
      </c>
      <c r="U596" s="11">
        <f t="shared" si="55"/>
        <v>0.37779990044798406</v>
      </c>
      <c r="V596" s="1" t="str">
        <f t="shared" si="56"/>
        <v>Slow</v>
      </c>
      <c r="W596" s="1" t="str">
        <f t="shared" si="57"/>
        <v>OK</v>
      </c>
    </row>
    <row r="597" spans="1:23">
      <c r="A597" s="1">
        <v>57215</v>
      </c>
      <c r="B597" s="10">
        <v>45940</v>
      </c>
      <c r="C597" s="1">
        <v>18</v>
      </c>
      <c r="D597" s="1" t="s">
        <v>78</v>
      </c>
      <c r="E597" s="1" t="s">
        <v>87</v>
      </c>
      <c r="F597" s="1" t="s">
        <v>64</v>
      </c>
      <c r="G597" s="1" t="s">
        <v>60</v>
      </c>
      <c r="H597" s="1" t="s">
        <v>70</v>
      </c>
      <c r="I597" s="1" t="s">
        <v>151</v>
      </c>
      <c r="J597" s="24">
        <v>2.31</v>
      </c>
      <c r="K597" s="24">
        <v>3.78</v>
      </c>
      <c r="L597" s="28">
        <v>1.47</v>
      </c>
      <c r="M597" s="1">
        <v>28</v>
      </c>
      <c r="N597" s="28">
        <v>105.84</v>
      </c>
      <c r="O597" s="29">
        <v>0.06</v>
      </c>
      <c r="P597" s="28">
        <v>6.3503999999999987</v>
      </c>
      <c r="Q597" s="28">
        <v>99.489599999999996</v>
      </c>
      <c r="R597" s="1" t="str">
        <f t="shared" si="54"/>
        <v>Oct</v>
      </c>
      <c r="S597" s="28">
        <f t="shared" si="58"/>
        <v>64.680000000000007</v>
      </c>
      <c r="T597" s="28">
        <f t="shared" si="59"/>
        <v>34.809599999999989</v>
      </c>
      <c r="U597" s="11">
        <f t="shared" si="55"/>
        <v>0.34988179669030722</v>
      </c>
      <c r="V597" s="1" t="str">
        <f t="shared" si="56"/>
        <v>Very Slow</v>
      </c>
      <c r="W597" s="1" t="str">
        <f t="shared" si="57"/>
        <v>OK</v>
      </c>
    </row>
    <row r="598" spans="1:23">
      <c r="A598" s="1">
        <v>57216</v>
      </c>
      <c r="B598" s="10">
        <v>45940</v>
      </c>
      <c r="C598" s="1">
        <v>7</v>
      </c>
      <c r="D598" s="1" t="s">
        <v>57</v>
      </c>
      <c r="E598" s="1" t="s">
        <v>72</v>
      </c>
      <c r="F598" s="1" t="s">
        <v>96</v>
      </c>
      <c r="G598" s="1" t="s">
        <v>60</v>
      </c>
      <c r="H598" s="1" t="s">
        <v>61</v>
      </c>
      <c r="I598" s="1" t="s">
        <v>141</v>
      </c>
      <c r="J598" s="24">
        <v>2.1800000000000002</v>
      </c>
      <c r="K598" s="24">
        <v>3.52</v>
      </c>
      <c r="L598" s="28">
        <v>1.34</v>
      </c>
      <c r="M598" s="1">
        <v>37</v>
      </c>
      <c r="N598" s="28">
        <v>130.24</v>
      </c>
      <c r="O598" s="29">
        <v>0.09</v>
      </c>
      <c r="P598" s="28">
        <v>11.7216</v>
      </c>
      <c r="Q598" s="28">
        <v>118.5184</v>
      </c>
      <c r="R598" s="1" t="str">
        <f t="shared" si="54"/>
        <v>Oct</v>
      </c>
      <c r="S598" s="28">
        <f t="shared" si="58"/>
        <v>80.660000000000011</v>
      </c>
      <c r="T598" s="28">
        <f t="shared" si="59"/>
        <v>37.858399999999989</v>
      </c>
      <c r="U598" s="11">
        <f t="shared" si="55"/>
        <v>0.31943056943056936</v>
      </c>
      <c r="V598" s="1" t="str">
        <f t="shared" si="56"/>
        <v>Standard</v>
      </c>
      <c r="W598" s="1" t="str">
        <f t="shared" si="57"/>
        <v>OK</v>
      </c>
    </row>
    <row r="599" spans="1:23">
      <c r="A599" s="1">
        <v>57217</v>
      </c>
      <c r="B599" s="10">
        <v>45941</v>
      </c>
      <c r="C599" s="1">
        <v>3</v>
      </c>
      <c r="D599" s="1" t="s">
        <v>57</v>
      </c>
      <c r="E599" s="1" t="s">
        <v>58</v>
      </c>
      <c r="F599" s="1" t="s">
        <v>108</v>
      </c>
      <c r="G599" s="1" t="s">
        <v>81</v>
      </c>
      <c r="H599" s="1" t="s">
        <v>70</v>
      </c>
      <c r="I599" s="1" t="s">
        <v>113</v>
      </c>
      <c r="J599" s="24">
        <v>10.07</v>
      </c>
      <c r="K599" s="24">
        <v>15.98</v>
      </c>
      <c r="L599" s="28">
        <v>5.91</v>
      </c>
      <c r="M599" s="1">
        <v>7</v>
      </c>
      <c r="N599" s="28">
        <v>111.86</v>
      </c>
      <c r="O599" s="29">
        <v>0.1</v>
      </c>
      <c r="P599" s="28">
        <v>11.186</v>
      </c>
      <c r="Q599" s="28">
        <v>100.67400000000001</v>
      </c>
      <c r="R599" s="1" t="str">
        <f t="shared" si="54"/>
        <v>Oct</v>
      </c>
      <c r="S599" s="28">
        <f t="shared" si="58"/>
        <v>70.490000000000009</v>
      </c>
      <c r="T599" s="28">
        <f t="shared" si="59"/>
        <v>30.183999999999997</v>
      </c>
      <c r="U599" s="11">
        <f t="shared" si="55"/>
        <v>0.29981921846752879</v>
      </c>
      <c r="V599" s="1" t="str">
        <f t="shared" si="56"/>
        <v>Fast</v>
      </c>
      <c r="W599" s="1" t="str">
        <f t="shared" si="57"/>
        <v>OK</v>
      </c>
    </row>
    <row r="600" spans="1:23">
      <c r="A600" s="1">
        <v>57218</v>
      </c>
      <c r="B600" s="10">
        <v>45942</v>
      </c>
      <c r="C600" s="1">
        <v>6</v>
      </c>
      <c r="D600" s="1" t="s">
        <v>57</v>
      </c>
      <c r="E600" s="1" t="s">
        <v>87</v>
      </c>
      <c r="F600" s="1" t="s">
        <v>64</v>
      </c>
      <c r="G600" s="1" t="s">
        <v>60</v>
      </c>
      <c r="H600" s="1" t="s">
        <v>70</v>
      </c>
      <c r="I600" s="1" t="s">
        <v>211</v>
      </c>
      <c r="J600" s="24">
        <v>3.53</v>
      </c>
      <c r="K600" s="24">
        <v>8.6199999999999992</v>
      </c>
      <c r="L600" s="28">
        <v>5.09</v>
      </c>
      <c r="M600" s="1">
        <v>7</v>
      </c>
      <c r="N600" s="28">
        <v>60.34</v>
      </c>
      <c r="O600" s="29">
        <v>0</v>
      </c>
      <c r="P600" s="28">
        <v>0</v>
      </c>
      <c r="Q600" s="28">
        <v>60.34</v>
      </c>
      <c r="R600" s="1" t="str">
        <f t="shared" si="54"/>
        <v>Oct</v>
      </c>
      <c r="S600" s="28">
        <f t="shared" si="58"/>
        <v>24.709999999999997</v>
      </c>
      <c r="T600" s="28">
        <f t="shared" si="59"/>
        <v>35.63000000000001</v>
      </c>
      <c r="U600" s="11">
        <f t="shared" si="55"/>
        <v>0.59048723897911848</v>
      </c>
      <c r="V600" s="1" t="str">
        <f t="shared" si="56"/>
        <v>Standard</v>
      </c>
      <c r="W600" s="1" t="str">
        <f t="shared" si="57"/>
        <v>OK</v>
      </c>
    </row>
    <row r="601" spans="1:23">
      <c r="A601" s="1">
        <v>57219</v>
      </c>
      <c r="B601" s="10">
        <v>45942</v>
      </c>
      <c r="C601" s="1">
        <v>3</v>
      </c>
      <c r="D601" s="1" t="s">
        <v>57</v>
      </c>
      <c r="E601" s="1" t="s">
        <v>87</v>
      </c>
      <c r="F601" s="1" t="s">
        <v>75</v>
      </c>
      <c r="G601" s="1" t="s">
        <v>60</v>
      </c>
      <c r="H601" s="1" t="s">
        <v>61</v>
      </c>
      <c r="I601" s="1" t="s">
        <v>215</v>
      </c>
      <c r="J601" s="24">
        <v>4.03</v>
      </c>
      <c r="K601" s="24">
        <v>9.3800000000000008</v>
      </c>
      <c r="L601" s="28">
        <v>5.3500000000000014</v>
      </c>
      <c r="M601" s="1">
        <v>16</v>
      </c>
      <c r="N601" s="28">
        <v>150.08000000000001</v>
      </c>
      <c r="O601" s="29">
        <v>0.09</v>
      </c>
      <c r="P601" s="28">
        <v>13.507199999999999</v>
      </c>
      <c r="Q601" s="28">
        <v>136.5728</v>
      </c>
      <c r="R601" s="1" t="str">
        <f t="shared" si="54"/>
        <v>Oct</v>
      </c>
      <c r="S601" s="28">
        <f t="shared" si="58"/>
        <v>64.48</v>
      </c>
      <c r="T601" s="28">
        <f t="shared" si="59"/>
        <v>72.092799999999997</v>
      </c>
      <c r="U601" s="11">
        <f t="shared" si="55"/>
        <v>0.52787084983247023</v>
      </c>
      <c r="V601" s="1" t="str">
        <f t="shared" si="56"/>
        <v>Fast</v>
      </c>
      <c r="W601" s="1" t="str">
        <f t="shared" si="57"/>
        <v>OK</v>
      </c>
    </row>
    <row r="602" spans="1:23">
      <c r="A602" s="1">
        <v>57220</v>
      </c>
      <c r="B602" s="10">
        <v>45943</v>
      </c>
      <c r="C602" s="1">
        <v>16</v>
      </c>
      <c r="D602" s="1" t="s">
        <v>78</v>
      </c>
      <c r="E602" s="1" t="s">
        <v>67</v>
      </c>
      <c r="F602" s="1" t="s">
        <v>98</v>
      </c>
      <c r="G602" s="1" t="s">
        <v>60</v>
      </c>
      <c r="H602" s="1" t="s">
        <v>61</v>
      </c>
      <c r="I602" s="1" t="s">
        <v>186</v>
      </c>
      <c r="J602" s="24">
        <v>11.11</v>
      </c>
      <c r="K602" s="24">
        <v>19.84</v>
      </c>
      <c r="L602" s="28">
        <v>8.73</v>
      </c>
      <c r="M602" s="1">
        <v>21</v>
      </c>
      <c r="N602" s="28">
        <v>416.64</v>
      </c>
      <c r="O602" s="29">
        <v>0.06</v>
      </c>
      <c r="P602" s="28">
        <v>24.9984</v>
      </c>
      <c r="Q602" s="28">
        <v>391.64159999999998</v>
      </c>
      <c r="R602" s="1" t="str">
        <f t="shared" si="54"/>
        <v>Oct</v>
      </c>
      <c r="S602" s="28">
        <f t="shared" si="58"/>
        <v>233.31</v>
      </c>
      <c r="T602" s="28">
        <f t="shared" si="59"/>
        <v>158.33159999999998</v>
      </c>
      <c r="U602" s="11">
        <f t="shared" si="55"/>
        <v>0.40427676733013035</v>
      </c>
      <c r="V602" s="1" t="str">
        <f t="shared" si="56"/>
        <v>Very Slow</v>
      </c>
      <c r="W602" s="1" t="str">
        <f t="shared" si="57"/>
        <v>OK</v>
      </c>
    </row>
    <row r="603" spans="1:23">
      <c r="A603" s="1">
        <v>57221</v>
      </c>
      <c r="B603" s="10">
        <v>45943</v>
      </c>
      <c r="C603" s="1">
        <v>8</v>
      </c>
      <c r="D603" s="1" t="s">
        <v>57</v>
      </c>
      <c r="E603" s="1" t="s">
        <v>87</v>
      </c>
      <c r="F603" s="1" t="s">
        <v>59</v>
      </c>
      <c r="G603" s="1" t="s">
        <v>60</v>
      </c>
      <c r="H603" s="1" t="s">
        <v>90</v>
      </c>
      <c r="I603" s="1" t="s">
        <v>216</v>
      </c>
      <c r="J603" s="24">
        <v>84.22</v>
      </c>
      <c r="K603" s="24">
        <v>210.55</v>
      </c>
      <c r="L603" s="28">
        <v>126.33</v>
      </c>
      <c r="M603" s="1">
        <v>3</v>
      </c>
      <c r="N603" s="28">
        <v>631.65000000000009</v>
      </c>
      <c r="O603" s="29">
        <v>0.05</v>
      </c>
      <c r="P603" s="28">
        <v>31.58250000000001</v>
      </c>
      <c r="Q603" s="28">
        <v>600.06750000000011</v>
      </c>
      <c r="R603" s="1" t="str">
        <f t="shared" si="54"/>
        <v>Oct</v>
      </c>
      <c r="S603" s="28">
        <f t="shared" si="58"/>
        <v>252.66</v>
      </c>
      <c r="T603" s="28">
        <f t="shared" si="59"/>
        <v>347.40750000000014</v>
      </c>
      <c r="U603" s="11">
        <f t="shared" si="55"/>
        <v>0.57894736842105277</v>
      </c>
      <c r="V603" s="1" t="str">
        <f t="shared" si="56"/>
        <v>Slow</v>
      </c>
      <c r="W603" s="1" t="str">
        <f t="shared" si="57"/>
        <v>OK</v>
      </c>
    </row>
    <row r="604" spans="1:23">
      <c r="A604" s="1">
        <v>57222</v>
      </c>
      <c r="B604" s="10">
        <v>45943</v>
      </c>
      <c r="C604" s="1">
        <v>9</v>
      </c>
      <c r="D604" s="1" t="s">
        <v>57</v>
      </c>
      <c r="E604" s="1" t="s">
        <v>87</v>
      </c>
      <c r="F604" s="1" t="s">
        <v>18</v>
      </c>
      <c r="G604" s="1" t="s">
        <v>60</v>
      </c>
      <c r="H604" s="1" t="s">
        <v>70</v>
      </c>
      <c r="I604" s="1" t="s">
        <v>220</v>
      </c>
      <c r="J604" s="24">
        <v>1.0900000000000001</v>
      </c>
      <c r="K604" s="24">
        <v>1.82</v>
      </c>
      <c r="L604" s="28">
        <v>0.73</v>
      </c>
      <c r="M604" s="1">
        <v>43</v>
      </c>
      <c r="N604" s="28">
        <v>78.260000000000005</v>
      </c>
      <c r="O604" s="29">
        <v>0.08</v>
      </c>
      <c r="P604" s="28">
        <v>6.2608000000000006</v>
      </c>
      <c r="Q604" s="28">
        <v>71.999200000000002</v>
      </c>
      <c r="R604" s="1" t="str">
        <f t="shared" si="54"/>
        <v>Oct</v>
      </c>
      <c r="S604" s="28">
        <f t="shared" si="58"/>
        <v>46.870000000000005</v>
      </c>
      <c r="T604" s="28">
        <f t="shared" si="59"/>
        <v>25.129199999999997</v>
      </c>
      <c r="U604" s="11">
        <f t="shared" si="55"/>
        <v>0.34902054467271854</v>
      </c>
      <c r="V604" s="1" t="str">
        <f t="shared" si="56"/>
        <v>Slow</v>
      </c>
      <c r="W604" s="1" t="str">
        <f t="shared" si="57"/>
        <v>OK</v>
      </c>
    </row>
    <row r="605" spans="1:23">
      <c r="A605" s="1">
        <v>57223</v>
      </c>
      <c r="B605" s="10">
        <v>45943</v>
      </c>
      <c r="C605" s="1">
        <v>5</v>
      </c>
      <c r="D605" s="1" t="s">
        <v>63</v>
      </c>
      <c r="E605" s="1" t="s">
        <v>72</v>
      </c>
      <c r="F605" s="1" t="s">
        <v>84</v>
      </c>
      <c r="G605" s="1" t="s">
        <v>60</v>
      </c>
      <c r="H605" s="1" t="s">
        <v>65</v>
      </c>
      <c r="I605" s="1" t="s">
        <v>120</v>
      </c>
      <c r="J605" s="24">
        <v>16.8</v>
      </c>
      <c r="K605" s="24">
        <v>40.97</v>
      </c>
      <c r="L605" s="28">
        <v>24.17</v>
      </c>
      <c r="M605" s="1">
        <v>30</v>
      </c>
      <c r="N605" s="28">
        <v>1229.0999999999999</v>
      </c>
      <c r="O605" s="29">
        <v>0.04</v>
      </c>
      <c r="P605" s="28">
        <v>49.163999999999987</v>
      </c>
      <c r="Q605" s="28">
        <v>1179.9359999999999</v>
      </c>
      <c r="R605" s="1" t="str">
        <f t="shared" si="54"/>
        <v>Oct</v>
      </c>
      <c r="S605" s="28">
        <f t="shared" si="58"/>
        <v>504</v>
      </c>
      <c r="T605" s="28">
        <f t="shared" si="59"/>
        <v>675.93599999999992</v>
      </c>
      <c r="U605" s="11">
        <f t="shared" si="55"/>
        <v>0.57285818891872098</v>
      </c>
      <c r="V605" s="1" t="str">
        <f t="shared" si="56"/>
        <v>Standard</v>
      </c>
      <c r="W605" s="1" t="str">
        <f t="shared" si="57"/>
        <v>OK</v>
      </c>
    </row>
    <row r="606" spans="1:23">
      <c r="A606" s="1">
        <v>57224</v>
      </c>
      <c r="B606" s="10">
        <v>45944</v>
      </c>
      <c r="C606" s="1">
        <v>16</v>
      </c>
      <c r="D606" s="1" t="s">
        <v>63</v>
      </c>
      <c r="E606" s="1" t="s">
        <v>58</v>
      </c>
      <c r="F606" s="1" t="s">
        <v>83</v>
      </c>
      <c r="G606" s="1" t="s">
        <v>81</v>
      </c>
      <c r="H606" s="1" t="s">
        <v>70</v>
      </c>
      <c r="I606" s="1" t="s">
        <v>147</v>
      </c>
      <c r="J606" s="24">
        <v>377.99</v>
      </c>
      <c r="K606" s="24">
        <v>599.99</v>
      </c>
      <c r="L606" s="28">
        <v>222</v>
      </c>
      <c r="M606" s="1">
        <v>14</v>
      </c>
      <c r="N606" s="28">
        <v>8399.86</v>
      </c>
      <c r="O606" s="29">
        <v>0</v>
      </c>
      <c r="P606" s="28">
        <v>0</v>
      </c>
      <c r="Q606" s="28">
        <v>8399.86</v>
      </c>
      <c r="R606" s="1" t="str">
        <f t="shared" si="54"/>
        <v>Oct</v>
      </c>
      <c r="S606" s="28">
        <f t="shared" si="58"/>
        <v>5291.8600000000006</v>
      </c>
      <c r="T606" s="28">
        <f t="shared" si="59"/>
        <v>3108</v>
      </c>
      <c r="U606" s="11">
        <f t="shared" si="55"/>
        <v>0.37000616676944614</v>
      </c>
      <c r="V606" s="1" t="str">
        <f t="shared" si="56"/>
        <v>Very Slow</v>
      </c>
      <c r="W606" s="1" t="str">
        <f t="shared" si="57"/>
        <v>OK</v>
      </c>
    </row>
    <row r="607" spans="1:23">
      <c r="A607" s="1">
        <v>57225</v>
      </c>
      <c r="B607" s="10">
        <v>45944</v>
      </c>
      <c r="C607" s="1">
        <v>6</v>
      </c>
      <c r="D607" s="1" t="s">
        <v>57</v>
      </c>
      <c r="E607" s="1" t="s">
        <v>72</v>
      </c>
      <c r="F607" s="1" t="s">
        <v>83</v>
      </c>
      <c r="G607" s="1" t="s">
        <v>60</v>
      </c>
      <c r="H607" s="1" t="s">
        <v>70</v>
      </c>
      <c r="I607" s="1" t="s">
        <v>186</v>
      </c>
      <c r="J607" s="24">
        <v>11.11</v>
      </c>
      <c r="K607" s="24">
        <v>19.84</v>
      </c>
      <c r="L607" s="28">
        <v>8.73</v>
      </c>
      <c r="M607" s="1">
        <v>40</v>
      </c>
      <c r="N607" s="28">
        <v>793.6</v>
      </c>
      <c r="O607" s="29">
        <v>0.01</v>
      </c>
      <c r="P607" s="28">
        <v>7.9360000000000008</v>
      </c>
      <c r="Q607" s="28">
        <v>785.66399999999999</v>
      </c>
      <c r="R607" s="1" t="str">
        <f t="shared" si="54"/>
        <v>Oct</v>
      </c>
      <c r="S607" s="28">
        <f t="shared" si="58"/>
        <v>444.4</v>
      </c>
      <c r="T607" s="28">
        <f t="shared" si="59"/>
        <v>341.26400000000001</v>
      </c>
      <c r="U607" s="11">
        <f t="shared" si="55"/>
        <v>0.43436379928315416</v>
      </c>
      <c r="V607" s="1" t="str">
        <f t="shared" si="56"/>
        <v>Standard</v>
      </c>
      <c r="W607" s="1" t="str">
        <f t="shared" si="57"/>
        <v>OK</v>
      </c>
    </row>
    <row r="608" spans="1:23">
      <c r="A608" s="1">
        <v>57226</v>
      </c>
      <c r="B608" s="10">
        <v>45944</v>
      </c>
      <c r="C608" s="1">
        <v>18</v>
      </c>
      <c r="D608" s="1" t="s">
        <v>57</v>
      </c>
      <c r="E608" s="1" t="s">
        <v>72</v>
      </c>
      <c r="F608" s="1" t="s">
        <v>96</v>
      </c>
      <c r="G608" s="1" t="s">
        <v>81</v>
      </c>
      <c r="H608" s="1" t="s">
        <v>70</v>
      </c>
      <c r="I608" s="1" t="s">
        <v>144</v>
      </c>
      <c r="J608" s="24">
        <v>19.78</v>
      </c>
      <c r="K608" s="24">
        <v>45.99</v>
      </c>
      <c r="L608" s="28">
        <v>26.21</v>
      </c>
      <c r="M608" s="1">
        <v>44</v>
      </c>
      <c r="N608" s="28">
        <v>2023.56</v>
      </c>
      <c r="O608" s="29">
        <v>0.1</v>
      </c>
      <c r="P608" s="28">
        <v>202.35599999999999</v>
      </c>
      <c r="Q608" s="28">
        <v>1821.204</v>
      </c>
      <c r="R608" s="1" t="str">
        <f t="shared" si="54"/>
        <v>Oct</v>
      </c>
      <c r="S608" s="28">
        <f t="shared" si="58"/>
        <v>870.32</v>
      </c>
      <c r="T608" s="28">
        <f t="shared" si="59"/>
        <v>950.8839999999999</v>
      </c>
      <c r="U608" s="11">
        <f t="shared" si="55"/>
        <v>0.52211833490372295</v>
      </c>
      <c r="V608" s="1" t="str">
        <f t="shared" si="56"/>
        <v>Very Slow</v>
      </c>
      <c r="W608" s="1" t="str">
        <f t="shared" si="57"/>
        <v>OK</v>
      </c>
    </row>
    <row r="609" spans="1:23">
      <c r="A609" s="1">
        <v>57227</v>
      </c>
      <c r="B609" s="10">
        <v>45944</v>
      </c>
      <c r="C609" s="1">
        <v>19</v>
      </c>
      <c r="D609" s="1" t="s">
        <v>57</v>
      </c>
      <c r="E609" s="1" t="s">
        <v>67</v>
      </c>
      <c r="F609" s="1" t="s">
        <v>64</v>
      </c>
      <c r="G609" s="1" t="s">
        <v>60</v>
      </c>
      <c r="H609" s="1" t="s">
        <v>61</v>
      </c>
      <c r="I609" s="1" t="s">
        <v>152</v>
      </c>
      <c r="J609" s="24">
        <v>1.59</v>
      </c>
      <c r="K609" s="24">
        <v>2.61</v>
      </c>
      <c r="L609" s="28">
        <v>1.02</v>
      </c>
      <c r="M609" s="1">
        <v>37</v>
      </c>
      <c r="N609" s="28">
        <v>96.57</v>
      </c>
      <c r="O609" s="29">
        <v>0</v>
      </c>
      <c r="P609" s="28">
        <v>0</v>
      </c>
      <c r="Q609" s="28">
        <v>96.57</v>
      </c>
      <c r="R609" s="1" t="str">
        <f t="shared" si="54"/>
        <v>Oct</v>
      </c>
      <c r="S609" s="28">
        <f t="shared" si="58"/>
        <v>58.830000000000005</v>
      </c>
      <c r="T609" s="28">
        <f t="shared" si="59"/>
        <v>37.739999999999988</v>
      </c>
      <c r="U609" s="11">
        <f t="shared" si="55"/>
        <v>0.39080459770114934</v>
      </c>
      <c r="V609" s="1" t="str">
        <f t="shared" si="56"/>
        <v>Very Slow</v>
      </c>
      <c r="W609" s="1" t="str">
        <f t="shared" si="57"/>
        <v>OK</v>
      </c>
    </row>
    <row r="610" spans="1:23">
      <c r="A610" s="1">
        <v>57228</v>
      </c>
      <c r="B610" s="10">
        <v>45944</v>
      </c>
      <c r="C610" s="1">
        <v>4</v>
      </c>
      <c r="D610" s="1" t="s">
        <v>63</v>
      </c>
      <c r="E610" s="1" t="s">
        <v>58</v>
      </c>
      <c r="F610" s="1" t="s">
        <v>100</v>
      </c>
      <c r="G610" s="1" t="s">
        <v>60</v>
      </c>
      <c r="H610" s="1" t="s">
        <v>68</v>
      </c>
      <c r="I610" s="1" t="s">
        <v>106</v>
      </c>
      <c r="J610" s="24">
        <v>1.53</v>
      </c>
      <c r="K610" s="24">
        <v>2.78</v>
      </c>
      <c r="L610" s="28">
        <v>1.25</v>
      </c>
      <c r="M610" s="1">
        <v>24</v>
      </c>
      <c r="N610" s="28">
        <v>66.72</v>
      </c>
      <c r="O610" s="29">
        <v>0.01</v>
      </c>
      <c r="P610" s="28">
        <v>0.66720000000000002</v>
      </c>
      <c r="Q610" s="28">
        <v>66.052800000000005</v>
      </c>
      <c r="R610" s="1" t="str">
        <f t="shared" si="54"/>
        <v>Oct</v>
      </c>
      <c r="S610" s="28">
        <f t="shared" si="58"/>
        <v>36.72</v>
      </c>
      <c r="T610" s="28">
        <f t="shared" si="59"/>
        <v>29.332800000000006</v>
      </c>
      <c r="U610" s="11">
        <f t="shared" si="55"/>
        <v>0.4440810987573578</v>
      </c>
      <c r="V610" s="1" t="str">
        <f t="shared" si="56"/>
        <v>Standard</v>
      </c>
      <c r="W610" s="1" t="str">
        <f t="shared" si="57"/>
        <v>OK</v>
      </c>
    </row>
    <row r="611" spans="1:23">
      <c r="A611" s="1">
        <v>57229</v>
      </c>
      <c r="B611" s="10">
        <v>45944</v>
      </c>
      <c r="C611" s="1">
        <v>11</v>
      </c>
      <c r="D611" s="1" t="s">
        <v>63</v>
      </c>
      <c r="E611" s="1" t="s">
        <v>58</v>
      </c>
      <c r="F611" s="1" t="s">
        <v>64</v>
      </c>
      <c r="G611" s="1" t="s">
        <v>60</v>
      </c>
      <c r="H611" s="1" t="s">
        <v>68</v>
      </c>
      <c r="I611" s="1" t="s">
        <v>226</v>
      </c>
      <c r="J611" s="24">
        <v>16.850000000000001</v>
      </c>
      <c r="K611" s="24">
        <v>27.18</v>
      </c>
      <c r="L611" s="28">
        <v>10.33</v>
      </c>
      <c r="M611" s="1">
        <v>60</v>
      </c>
      <c r="N611" s="28">
        <v>1630.8</v>
      </c>
      <c r="O611" s="29">
        <v>0.02</v>
      </c>
      <c r="P611" s="28">
        <v>32.616</v>
      </c>
      <c r="Q611" s="28">
        <v>1598.184</v>
      </c>
      <c r="R611" s="1" t="str">
        <f t="shared" si="54"/>
        <v>Oct</v>
      </c>
      <c r="S611" s="28">
        <f t="shared" si="58"/>
        <v>1011.0000000000001</v>
      </c>
      <c r="T611" s="28">
        <f t="shared" si="59"/>
        <v>587.18399999999986</v>
      </c>
      <c r="U611" s="11">
        <f t="shared" si="55"/>
        <v>0.36740700695289147</v>
      </c>
      <c r="V611" s="1" t="str">
        <f t="shared" si="56"/>
        <v>Slow</v>
      </c>
      <c r="W611" s="1" t="str">
        <f t="shared" si="57"/>
        <v>OK</v>
      </c>
    </row>
    <row r="612" spans="1:23">
      <c r="A612" s="1">
        <v>57230</v>
      </c>
      <c r="B612" s="10">
        <v>45945</v>
      </c>
      <c r="C612" s="1">
        <v>23</v>
      </c>
      <c r="D612" s="1" t="s">
        <v>63</v>
      </c>
      <c r="E612" s="1" t="s">
        <v>67</v>
      </c>
      <c r="F612" s="1" t="s">
        <v>64</v>
      </c>
      <c r="G612" s="1" t="s">
        <v>60</v>
      </c>
      <c r="H612" s="1" t="s">
        <v>68</v>
      </c>
      <c r="I612" s="1" t="s">
        <v>202</v>
      </c>
      <c r="J612" s="24">
        <v>52.04</v>
      </c>
      <c r="K612" s="24">
        <v>83.93</v>
      </c>
      <c r="L612" s="28">
        <v>31.890000000000011</v>
      </c>
      <c r="M612" s="1">
        <v>4</v>
      </c>
      <c r="N612" s="28">
        <v>335.72</v>
      </c>
      <c r="O612" s="29">
        <v>0</v>
      </c>
      <c r="P612" s="28">
        <v>0</v>
      </c>
      <c r="Q612" s="28">
        <v>335.72</v>
      </c>
      <c r="R612" s="1" t="str">
        <f t="shared" si="54"/>
        <v>Oct</v>
      </c>
      <c r="S612" s="28">
        <f t="shared" si="58"/>
        <v>208.16</v>
      </c>
      <c r="T612" s="28">
        <f t="shared" si="59"/>
        <v>127.56000000000003</v>
      </c>
      <c r="U612" s="11">
        <f t="shared" si="55"/>
        <v>0.37995949005123325</v>
      </c>
      <c r="V612" s="1" t="str">
        <f t="shared" si="56"/>
        <v>Very Slow</v>
      </c>
      <c r="W612" s="1" t="str">
        <f t="shared" si="57"/>
        <v>OK</v>
      </c>
    </row>
    <row r="613" spans="1:23">
      <c r="A613" s="1">
        <v>57231</v>
      </c>
      <c r="B613" s="10">
        <v>45945</v>
      </c>
      <c r="C613" s="1">
        <v>8</v>
      </c>
      <c r="D613" s="1" t="s">
        <v>78</v>
      </c>
      <c r="E613" s="1" t="s">
        <v>72</v>
      </c>
      <c r="F613" s="1" t="s">
        <v>100</v>
      </c>
      <c r="G613" s="1" t="s">
        <v>60</v>
      </c>
      <c r="H613" s="1" t="s">
        <v>61</v>
      </c>
      <c r="I613" s="1" t="s">
        <v>142</v>
      </c>
      <c r="J613" s="24">
        <v>2.29</v>
      </c>
      <c r="K613" s="24">
        <v>3.69</v>
      </c>
      <c r="L613" s="28">
        <v>1.4</v>
      </c>
      <c r="M613" s="1">
        <v>47</v>
      </c>
      <c r="N613" s="28">
        <v>173.43</v>
      </c>
      <c r="O613" s="29">
        <v>0.03</v>
      </c>
      <c r="P613" s="28">
        <v>5.2028999999999996</v>
      </c>
      <c r="Q613" s="28">
        <v>168.22710000000001</v>
      </c>
      <c r="R613" s="1" t="str">
        <f t="shared" si="54"/>
        <v>Oct</v>
      </c>
      <c r="S613" s="28">
        <f t="shared" si="58"/>
        <v>107.63</v>
      </c>
      <c r="T613" s="28">
        <f t="shared" si="59"/>
        <v>60.597100000000012</v>
      </c>
      <c r="U613" s="11">
        <f t="shared" si="55"/>
        <v>0.36021009694633033</v>
      </c>
      <c r="V613" s="1" t="str">
        <f t="shared" si="56"/>
        <v>Slow</v>
      </c>
      <c r="W613" s="1" t="str">
        <f t="shared" si="57"/>
        <v>OK</v>
      </c>
    </row>
    <row r="614" spans="1:23">
      <c r="A614" s="1">
        <v>57232</v>
      </c>
      <c r="B614" s="10">
        <v>45945</v>
      </c>
      <c r="C614" s="1">
        <v>23</v>
      </c>
      <c r="D614" s="1" t="s">
        <v>57</v>
      </c>
      <c r="E614" s="1" t="s">
        <v>87</v>
      </c>
      <c r="F614" s="1" t="s">
        <v>59</v>
      </c>
      <c r="G614" s="1" t="s">
        <v>85</v>
      </c>
      <c r="H614" s="1" t="s">
        <v>90</v>
      </c>
      <c r="I614" s="1" t="s">
        <v>86</v>
      </c>
      <c r="J614" s="24">
        <v>5.5</v>
      </c>
      <c r="K614" s="24">
        <v>12.22</v>
      </c>
      <c r="L614" s="28">
        <v>6.7200000000000006</v>
      </c>
      <c r="M614" s="1">
        <v>30</v>
      </c>
      <c r="N614" s="28">
        <v>366.6</v>
      </c>
      <c r="O614" s="29">
        <v>0.09</v>
      </c>
      <c r="P614" s="28">
        <v>32.994</v>
      </c>
      <c r="Q614" s="28">
        <v>333.60599999999999</v>
      </c>
      <c r="R614" s="1" t="str">
        <f t="shared" si="54"/>
        <v>Oct</v>
      </c>
      <c r="S614" s="28">
        <f t="shared" si="58"/>
        <v>165</v>
      </c>
      <c r="T614" s="28">
        <f t="shared" si="59"/>
        <v>168.60599999999999</v>
      </c>
      <c r="U614" s="11">
        <f t="shared" si="55"/>
        <v>0.50540457905433356</v>
      </c>
      <c r="V614" s="1" t="str">
        <f t="shared" si="56"/>
        <v>Very Slow</v>
      </c>
      <c r="W614" s="1" t="str">
        <f t="shared" si="57"/>
        <v>OK</v>
      </c>
    </row>
    <row r="615" spans="1:23">
      <c r="A615" s="1">
        <v>57233</v>
      </c>
      <c r="B615" s="10">
        <v>45945</v>
      </c>
      <c r="C615" s="1">
        <v>20</v>
      </c>
      <c r="D615" s="1" t="s">
        <v>63</v>
      </c>
      <c r="E615" s="1" t="s">
        <v>87</v>
      </c>
      <c r="F615" s="1" t="s">
        <v>73</v>
      </c>
      <c r="G615" s="1" t="s">
        <v>60</v>
      </c>
      <c r="H615" s="1" t="s">
        <v>90</v>
      </c>
      <c r="I615" s="1" t="s">
        <v>186</v>
      </c>
      <c r="J615" s="24">
        <v>11.11</v>
      </c>
      <c r="K615" s="24">
        <v>19.84</v>
      </c>
      <c r="L615" s="28">
        <v>8.73</v>
      </c>
      <c r="M615" s="1">
        <v>30</v>
      </c>
      <c r="N615" s="28">
        <v>595.20000000000005</v>
      </c>
      <c r="O615" s="29">
        <v>0.06</v>
      </c>
      <c r="P615" s="28">
        <v>35.712000000000003</v>
      </c>
      <c r="Q615" s="28">
        <v>559.48800000000006</v>
      </c>
      <c r="R615" s="1" t="str">
        <f t="shared" si="54"/>
        <v>Oct</v>
      </c>
      <c r="S615" s="28">
        <f t="shared" si="58"/>
        <v>333.29999999999995</v>
      </c>
      <c r="T615" s="28">
        <f t="shared" si="59"/>
        <v>226.1880000000001</v>
      </c>
      <c r="U615" s="11">
        <f t="shared" si="55"/>
        <v>0.40427676733013057</v>
      </c>
      <c r="V615" s="1" t="str">
        <f t="shared" si="56"/>
        <v>Very Slow</v>
      </c>
      <c r="W615" s="1" t="str">
        <f t="shared" si="57"/>
        <v>OK</v>
      </c>
    </row>
    <row r="616" spans="1:23">
      <c r="A616" s="1">
        <v>57234</v>
      </c>
      <c r="B616" s="10">
        <v>45946</v>
      </c>
      <c r="C616" s="1">
        <v>15</v>
      </c>
      <c r="D616" s="1" t="s">
        <v>57</v>
      </c>
      <c r="E616" s="1" t="s">
        <v>72</v>
      </c>
      <c r="F616" s="1" t="s">
        <v>100</v>
      </c>
      <c r="G616" s="1" t="s">
        <v>60</v>
      </c>
      <c r="H616" s="1" t="s">
        <v>90</v>
      </c>
      <c r="I616" s="1" t="s">
        <v>173</v>
      </c>
      <c r="J616" s="24">
        <v>5.19</v>
      </c>
      <c r="K616" s="24">
        <v>12.98</v>
      </c>
      <c r="L616" s="28">
        <v>7.79</v>
      </c>
      <c r="M616" s="1">
        <v>38</v>
      </c>
      <c r="N616" s="28">
        <v>493.24</v>
      </c>
      <c r="O616" s="29">
        <v>0.05</v>
      </c>
      <c r="P616" s="28">
        <v>24.661999999999999</v>
      </c>
      <c r="Q616" s="28">
        <v>468.57799999999997</v>
      </c>
      <c r="R616" s="1" t="str">
        <f t="shared" si="54"/>
        <v>Oct</v>
      </c>
      <c r="S616" s="28">
        <f t="shared" si="58"/>
        <v>197.22000000000003</v>
      </c>
      <c r="T616" s="28">
        <f t="shared" si="59"/>
        <v>271.35799999999995</v>
      </c>
      <c r="U616" s="11">
        <f t="shared" si="55"/>
        <v>0.57910956126834801</v>
      </c>
      <c r="V616" s="1" t="str">
        <f t="shared" si="56"/>
        <v>Very Slow</v>
      </c>
      <c r="W616" s="1" t="str">
        <f t="shared" si="57"/>
        <v>OK</v>
      </c>
    </row>
    <row r="617" spans="1:23">
      <c r="A617" s="1">
        <v>57235</v>
      </c>
      <c r="B617" s="10">
        <v>45946</v>
      </c>
      <c r="C617" s="1">
        <v>11</v>
      </c>
      <c r="D617" s="1" t="s">
        <v>57</v>
      </c>
      <c r="E617" s="1" t="s">
        <v>58</v>
      </c>
      <c r="F617" s="1" t="s">
        <v>73</v>
      </c>
      <c r="G617" s="1" t="s">
        <v>81</v>
      </c>
      <c r="H617" s="1" t="s">
        <v>68</v>
      </c>
      <c r="I617" s="1" t="s">
        <v>113</v>
      </c>
      <c r="J617" s="24">
        <v>10.07</v>
      </c>
      <c r="K617" s="24">
        <v>15.98</v>
      </c>
      <c r="L617" s="28">
        <v>5.91</v>
      </c>
      <c r="M617" s="1">
        <v>41</v>
      </c>
      <c r="N617" s="28">
        <v>655.18000000000006</v>
      </c>
      <c r="O617" s="29">
        <v>0.02</v>
      </c>
      <c r="P617" s="28">
        <v>13.1036</v>
      </c>
      <c r="Q617" s="28">
        <v>642.07640000000004</v>
      </c>
      <c r="R617" s="1" t="str">
        <f t="shared" si="54"/>
        <v>Oct</v>
      </c>
      <c r="S617" s="28">
        <f t="shared" si="58"/>
        <v>412.87</v>
      </c>
      <c r="T617" s="28">
        <f t="shared" si="59"/>
        <v>229.20640000000003</v>
      </c>
      <c r="U617" s="11">
        <f t="shared" si="55"/>
        <v>0.35697683328650615</v>
      </c>
      <c r="V617" s="1" t="str">
        <f t="shared" si="56"/>
        <v>Slow</v>
      </c>
      <c r="W617" s="1" t="str">
        <f t="shared" si="57"/>
        <v>OK</v>
      </c>
    </row>
    <row r="618" spans="1:23">
      <c r="A618" s="1">
        <v>57236</v>
      </c>
      <c r="B618" s="10">
        <v>45947</v>
      </c>
      <c r="C618" s="1">
        <v>4</v>
      </c>
      <c r="D618" s="1" t="s">
        <v>78</v>
      </c>
      <c r="E618" s="1" t="s">
        <v>67</v>
      </c>
      <c r="F618" s="1" t="s">
        <v>96</v>
      </c>
      <c r="G618" s="1" t="s">
        <v>60</v>
      </c>
      <c r="H618" s="1" t="s">
        <v>65</v>
      </c>
      <c r="I618" s="1" t="s">
        <v>101</v>
      </c>
      <c r="J618" s="24">
        <v>1.94</v>
      </c>
      <c r="K618" s="24">
        <v>3.08</v>
      </c>
      <c r="L618" s="28">
        <v>1.1399999999999999</v>
      </c>
      <c r="M618" s="1">
        <v>6</v>
      </c>
      <c r="N618" s="28">
        <v>18.48</v>
      </c>
      <c r="O618" s="29">
        <v>0.02</v>
      </c>
      <c r="P618" s="28">
        <v>0.36959999999999998</v>
      </c>
      <c r="Q618" s="28">
        <v>18.110399999999998</v>
      </c>
      <c r="R618" s="1" t="str">
        <f t="shared" si="54"/>
        <v>Oct</v>
      </c>
      <c r="S618" s="28">
        <f t="shared" si="58"/>
        <v>11.64</v>
      </c>
      <c r="T618" s="28">
        <f t="shared" si="59"/>
        <v>6.4703999999999979</v>
      </c>
      <c r="U618" s="11">
        <f t="shared" si="55"/>
        <v>0.35727537768354084</v>
      </c>
      <c r="V618" s="1" t="str">
        <f t="shared" si="56"/>
        <v>Standard</v>
      </c>
      <c r="W618" s="1" t="str">
        <f t="shared" si="57"/>
        <v>OK</v>
      </c>
    </row>
    <row r="619" spans="1:23">
      <c r="A619" s="1">
        <v>57237</v>
      </c>
      <c r="B619" s="10">
        <v>45947</v>
      </c>
      <c r="C619" s="1">
        <v>8</v>
      </c>
      <c r="D619" s="1" t="s">
        <v>57</v>
      </c>
      <c r="E619" s="1" t="s">
        <v>72</v>
      </c>
      <c r="F619" s="1" t="s">
        <v>59</v>
      </c>
      <c r="G619" s="1" t="s">
        <v>60</v>
      </c>
      <c r="H619" s="1" t="s">
        <v>61</v>
      </c>
      <c r="I619" s="1" t="s">
        <v>97</v>
      </c>
      <c r="J619" s="24">
        <v>1.6</v>
      </c>
      <c r="K619" s="24">
        <v>2.62</v>
      </c>
      <c r="L619" s="28">
        <v>1.02</v>
      </c>
      <c r="M619" s="1">
        <v>46</v>
      </c>
      <c r="N619" s="28">
        <v>120.52</v>
      </c>
      <c r="O619" s="29">
        <v>0.01</v>
      </c>
      <c r="P619" s="28">
        <v>1.2052</v>
      </c>
      <c r="Q619" s="28">
        <v>119.31480000000001</v>
      </c>
      <c r="R619" s="1" t="str">
        <f t="shared" si="54"/>
        <v>Oct</v>
      </c>
      <c r="S619" s="28">
        <f t="shared" si="58"/>
        <v>73.600000000000009</v>
      </c>
      <c r="T619" s="28">
        <f t="shared" si="59"/>
        <v>45.714799999999997</v>
      </c>
      <c r="U619" s="11">
        <f t="shared" si="55"/>
        <v>0.38314442131236021</v>
      </c>
      <c r="V619" s="1" t="str">
        <f t="shared" si="56"/>
        <v>Slow</v>
      </c>
      <c r="W619" s="1" t="str">
        <f t="shared" si="57"/>
        <v>OK</v>
      </c>
    </row>
    <row r="620" spans="1:23">
      <c r="A620" s="1">
        <v>57238</v>
      </c>
      <c r="B620" s="10">
        <v>45948</v>
      </c>
      <c r="C620" s="1">
        <v>23</v>
      </c>
      <c r="D620" s="1" t="s">
        <v>63</v>
      </c>
      <c r="E620" s="1" t="s">
        <v>67</v>
      </c>
      <c r="F620" s="1" t="s">
        <v>64</v>
      </c>
      <c r="G620" s="1" t="s">
        <v>81</v>
      </c>
      <c r="H620" s="1" t="s">
        <v>90</v>
      </c>
      <c r="I620" s="1" t="s">
        <v>110</v>
      </c>
      <c r="J620" s="24">
        <v>278.99</v>
      </c>
      <c r="K620" s="24">
        <v>449.99</v>
      </c>
      <c r="L620" s="28">
        <v>171</v>
      </c>
      <c r="M620" s="1">
        <v>16</v>
      </c>
      <c r="N620" s="28">
        <v>7199.84</v>
      </c>
      <c r="O620" s="29">
        <v>0.04</v>
      </c>
      <c r="P620" s="28">
        <v>287.99360000000001</v>
      </c>
      <c r="Q620" s="28">
        <v>6911.8464000000004</v>
      </c>
      <c r="R620" s="1" t="str">
        <f t="shared" si="54"/>
        <v>Oct</v>
      </c>
      <c r="S620" s="28">
        <f t="shared" si="58"/>
        <v>4463.84</v>
      </c>
      <c r="T620" s="28">
        <f t="shared" si="59"/>
        <v>2448.0064000000002</v>
      </c>
      <c r="U620" s="11">
        <f t="shared" si="55"/>
        <v>0.35417546315844056</v>
      </c>
      <c r="V620" s="1" t="str">
        <f t="shared" si="56"/>
        <v>Very Slow</v>
      </c>
      <c r="W620" s="1" t="str">
        <f t="shared" si="57"/>
        <v>OK</v>
      </c>
    </row>
    <row r="621" spans="1:23">
      <c r="A621" s="1">
        <v>57239</v>
      </c>
      <c r="B621" s="10">
        <v>45948</v>
      </c>
      <c r="C621" s="1">
        <v>17</v>
      </c>
      <c r="D621" s="1" t="s">
        <v>57</v>
      </c>
      <c r="E621" s="1" t="s">
        <v>58</v>
      </c>
      <c r="F621" s="1" t="s">
        <v>64</v>
      </c>
      <c r="G621" s="1" t="s">
        <v>60</v>
      </c>
      <c r="H621" s="1" t="s">
        <v>90</v>
      </c>
      <c r="I621" s="1" t="s">
        <v>198</v>
      </c>
      <c r="J621" s="24">
        <v>2.52</v>
      </c>
      <c r="K621" s="24">
        <v>4</v>
      </c>
      <c r="L621" s="28">
        <v>1.48</v>
      </c>
      <c r="M621" s="1">
        <v>16</v>
      </c>
      <c r="N621" s="28">
        <v>64</v>
      </c>
      <c r="O621" s="29">
        <v>0.06</v>
      </c>
      <c r="P621" s="28">
        <v>3.84</v>
      </c>
      <c r="Q621" s="28">
        <v>60.16</v>
      </c>
      <c r="R621" s="1" t="str">
        <f t="shared" si="54"/>
        <v>Oct</v>
      </c>
      <c r="S621" s="28">
        <f t="shared" si="58"/>
        <v>40.32</v>
      </c>
      <c r="T621" s="28">
        <f t="shared" si="59"/>
        <v>19.839999999999996</v>
      </c>
      <c r="U621" s="11">
        <f t="shared" si="55"/>
        <v>0.32978723404255317</v>
      </c>
      <c r="V621" s="1" t="str">
        <f t="shared" si="56"/>
        <v>Very Slow</v>
      </c>
      <c r="W621" s="1" t="str">
        <f t="shared" si="57"/>
        <v>OK</v>
      </c>
    </row>
    <row r="622" spans="1:23">
      <c r="A622" s="1">
        <v>57240</v>
      </c>
      <c r="B622" s="10">
        <v>45948</v>
      </c>
      <c r="C622" s="1">
        <v>12</v>
      </c>
      <c r="D622" s="1" t="s">
        <v>78</v>
      </c>
      <c r="E622" s="1" t="s">
        <v>72</v>
      </c>
      <c r="F622" s="1" t="s">
        <v>98</v>
      </c>
      <c r="G622" s="1" t="s">
        <v>81</v>
      </c>
      <c r="H622" s="1" t="s">
        <v>70</v>
      </c>
      <c r="I622" s="1" t="s">
        <v>212</v>
      </c>
      <c r="J622" s="24">
        <v>6.51</v>
      </c>
      <c r="K622" s="24">
        <v>30.98</v>
      </c>
      <c r="L622" s="28">
        <v>24.47</v>
      </c>
      <c r="M622" s="1">
        <v>32</v>
      </c>
      <c r="N622" s="28">
        <v>991.36</v>
      </c>
      <c r="O622" s="29">
        <v>0.03</v>
      </c>
      <c r="P622" s="28">
        <v>29.7408</v>
      </c>
      <c r="Q622" s="28">
        <v>961.61919999999998</v>
      </c>
      <c r="R622" s="1" t="str">
        <f t="shared" si="54"/>
        <v>Oct</v>
      </c>
      <c r="S622" s="28">
        <f t="shared" si="58"/>
        <v>208.32</v>
      </c>
      <c r="T622" s="28">
        <f t="shared" si="59"/>
        <v>753.29919999999993</v>
      </c>
      <c r="U622" s="11">
        <f t="shared" si="55"/>
        <v>0.78336539037490094</v>
      </c>
      <c r="V622" s="1" t="str">
        <f t="shared" si="56"/>
        <v>Slow</v>
      </c>
      <c r="W622" s="1" t="str">
        <f t="shared" si="57"/>
        <v>OK</v>
      </c>
    </row>
    <row r="623" spans="1:23">
      <c r="A623" s="1">
        <v>57241</v>
      </c>
      <c r="B623" s="10">
        <v>45949</v>
      </c>
      <c r="C623" s="1">
        <v>17</v>
      </c>
      <c r="D623" s="1" t="s">
        <v>57</v>
      </c>
      <c r="E623" s="1" t="s">
        <v>58</v>
      </c>
      <c r="F623" s="1" t="s">
        <v>84</v>
      </c>
      <c r="G623" s="1" t="s">
        <v>81</v>
      </c>
      <c r="H623" s="1" t="s">
        <v>68</v>
      </c>
      <c r="I623" s="1" t="s">
        <v>188</v>
      </c>
      <c r="J623" s="24">
        <v>41.28</v>
      </c>
      <c r="K623" s="24">
        <v>95.99</v>
      </c>
      <c r="L623" s="28">
        <v>54.709999999999987</v>
      </c>
      <c r="M623" s="1">
        <v>29</v>
      </c>
      <c r="N623" s="28">
        <v>2783.71</v>
      </c>
      <c r="O623" s="29">
        <v>0.02</v>
      </c>
      <c r="P623" s="28">
        <v>55.674199999999999</v>
      </c>
      <c r="Q623" s="28">
        <v>2728.0358000000001</v>
      </c>
      <c r="R623" s="1" t="str">
        <f t="shared" si="54"/>
        <v>Oct</v>
      </c>
      <c r="S623" s="28">
        <f t="shared" si="58"/>
        <v>1197.1200000000001</v>
      </c>
      <c r="T623" s="28">
        <f t="shared" si="59"/>
        <v>1530.9158</v>
      </c>
      <c r="U623" s="11">
        <f t="shared" si="55"/>
        <v>0.56117877925209048</v>
      </c>
      <c r="V623" s="1" t="str">
        <f t="shared" si="56"/>
        <v>Very Slow</v>
      </c>
      <c r="W623" s="1" t="str">
        <f t="shared" si="57"/>
        <v>OK</v>
      </c>
    </row>
    <row r="624" spans="1:23">
      <c r="A624" s="1">
        <v>57242</v>
      </c>
      <c r="B624" s="10">
        <v>45950</v>
      </c>
      <c r="C624" s="1">
        <v>22</v>
      </c>
      <c r="D624" s="1" t="s">
        <v>57</v>
      </c>
      <c r="E624" s="1" t="s">
        <v>72</v>
      </c>
      <c r="F624" s="1" t="s">
        <v>98</v>
      </c>
      <c r="G624" s="1" t="s">
        <v>60</v>
      </c>
      <c r="H624" s="1" t="s">
        <v>70</v>
      </c>
      <c r="I624" s="1" t="s">
        <v>168</v>
      </c>
      <c r="J624" s="24">
        <v>3.4</v>
      </c>
      <c r="K624" s="24">
        <v>5.4</v>
      </c>
      <c r="L624" s="28">
        <v>2</v>
      </c>
      <c r="M624" s="1">
        <v>16</v>
      </c>
      <c r="N624" s="28">
        <v>86.4</v>
      </c>
      <c r="O624" s="29">
        <v>0.02</v>
      </c>
      <c r="P624" s="28">
        <v>1.728</v>
      </c>
      <c r="Q624" s="28">
        <v>84.672000000000011</v>
      </c>
      <c r="R624" s="1" t="str">
        <f t="shared" si="54"/>
        <v>Oct</v>
      </c>
      <c r="S624" s="28">
        <f t="shared" si="58"/>
        <v>54.4</v>
      </c>
      <c r="T624" s="28">
        <f t="shared" si="59"/>
        <v>30.272000000000013</v>
      </c>
      <c r="U624" s="11">
        <f t="shared" si="55"/>
        <v>0.35752078609221477</v>
      </c>
      <c r="V624" s="1" t="str">
        <f t="shared" si="56"/>
        <v>Very Slow</v>
      </c>
      <c r="W624" s="1" t="str">
        <f t="shared" si="57"/>
        <v>OK</v>
      </c>
    </row>
    <row r="625" spans="1:23">
      <c r="A625" s="1">
        <v>57243</v>
      </c>
      <c r="B625" s="10">
        <v>45950</v>
      </c>
      <c r="C625" s="1">
        <v>14</v>
      </c>
      <c r="D625" s="1" t="s">
        <v>63</v>
      </c>
      <c r="E625" s="1" t="s">
        <v>87</v>
      </c>
      <c r="F625" s="1" t="s">
        <v>64</v>
      </c>
      <c r="G625" s="1" t="s">
        <v>60</v>
      </c>
      <c r="H625" s="1" t="s">
        <v>65</v>
      </c>
      <c r="I625" s="1" t="s">
        <v>80</v>
      </c>
      <c r="J625" s="24">
        <v>4.46</v>
      </c>
      <c r="K625" s="24">
        <v>10.89</v>
      </c>
      <c r="L625" s="28">
        <v>6.4300000000000006</v>
      </c>
      <c r="M625" s="1">
        <v>55</v>
      </c>
      <c r="N625" s="28">
        <v>598.95000000000005</v>
      </c>
      <c r="O625" s="29">
        <v>0.09</v>
      </c>
      <c r="P625" s="28">
        <v>53.905500000000004</v>
      </c>
      <c r="Q625" s="28">
        <v>545.04450000000008</v>
      </c>
      <c r="R625" s="1" t="str">
        <f t="shared" si="54"/>
        <v>Oct</v>
      </c>
      <c r="S625" s="28">
        <f t="shared" si="58"/>
        <v>245.3</v>
      </c>
      <c r="T625" s="28">
        <f t="shared" si="59"/>
        <v>299.74450000000007</v>
      </c>
      <c r="U625" s="11">
        <f t="shared" si="55"/>
        <v>0.54994500449045913</v>
      </c>
      <c r="V625" s="1" t="str">
        <f t="shared" si="56"/>
        <v>Slow</v>
      </c>
      <c r="W625" s="1" t="str">
        <f t="shared" si="57"/>
        <v>OK</v>
      </c>
    </row>
    <row r="626" spans="1:23">
      <c r="A626" s="1">
        <v>57244</v>
      </c>
      <c r="B626" s="10">
        <v>45951</v>
      </c>
      <c r="C626" s="1">
        <v>21</v>
      </c>
      <c r="D626" s="1" t="s">
        <v>57</v>
      </c>
      <c r="E626" s="1" t="s">
        <v>87</v>
      </c>
      <c r="F626" s="1" t="s">
        <v>88</v>
      </c>
      <c r="G626" s="1" t="s">
        <v>60</v>
      </c>
      <c r="H626" s="1" t="s">
        <v>65</v>
      </c>
      <c r="I626" s="1" t="s">
        <v>118</v>
      </c>
      <c r="J626" s="24">
        <v>3.32</v>
      </c>
      <c r="K626" s="24">
        <v>5.18</v>
      </c>
      <c r="L626" s="28">
        <v>1.86</v>
      </c>
      <c r="M626" s="1">
        <v>35</v>
      </c>
      <c r="N626" s="28">
        <v>181.3</v>
      </c>
      <c r="O626" s="29">
        <v>0.06</v>
      </c>
      <c r="P626" s="28">
        <v>10.878</v>
      </c>
      <c r="Q626" s="28">
        <v>170.422</v>
      </c>
      <c r="R626" s="1" t="str">
        <f t="shared" si="54"/>
        <v>Oct</v>
      </c>
      <c r="S626" s="28">
        <f t="shared" si="58"/>
        <v>116.19999999999999</v>
      </c>
      <c r="T626" s="28">
        <f t="shared" si="59"/>
        <v>54.222000000000008</v>
      </c>
      <c r="U626" s="11">
        <f t="shared" si="55"/>
        <v>0.31816314795038203</v>
      </c>
      <c r="V626" s="1" t="str">
        <f t="shared" si="56"/>
        <v>Very Slow</v>
      </c>
      <c r="W626" s="1" t="str">
        <f t="shared" si="57"/>
        <v>OK</v>
      </c>
    </row>
    <row r="627" spans="1:23">
      <c r="A627" s="1">
        <v>57245</v>
      </c>
      <c r="B627" s="10">
        <v>45952</v>
      </c>
      <c r="C627" s="1">
        <v>6</v>
      </c>
      <c r="D627" s="1" t="s">
        <v>57</v>
      </c>
      <c r="E627" s="1" t="s">
        <v>72</v>
      </c>
      <c r="F627" s="1" t="s">
        <v>73</v>
      </c>
      <c r="G627" s="1" t="s">
        <v>81</v>
      </c>
      <c r="H627" s="1" t="s">
        <v>68</v>
      </c>
      <c r="I627" s="1" t="s">
        <v>156</v>
      </c>
      <c r="J627" s="24">
        <v>60.59</v>
      </c>
      <c r="K627" s="24">
        <v>100.98</v>
      </c>
      <c r="L627" s="28">
        <v>40.39</v>
      </c>
      <c r="M627" s="1">
        <v>8</v>
      </c>
      <c r="N627" s="28">
        <v>807.84</v>
      </c>
      <c r="O627" s="29">
        <v>0.1</v>
      </c>
      <c r="P627" s="28">
        <v>80.784000000000006</v>
      </c>
      <c r="Q627" s="28">
        <v>727.05600000000004</v>
      </c>
      <c r="R627" s="1" t="str">
        <f t="shared" si="54"/>
        <v>Oct</v>
      </c>
      <c r="S627" s="28">
        <f t="shared" si="58"/>
        <v>484.72</v>
      </c>
      <c r="T627" s="28">
        <f t="shared" si="59"/>
        <v>242.33600000000001</v>
      </c>
      <c r="U627" s="11">
        <f t="shared" si="55"/>
        <v>0.33331132677537906</v>
      </c>
      <c r="V627" s="1" t="str">
        <f t="shared" si="56"/>
        <v>Standard</v>
      </c>
      <c r="W627" s="1" t="str">
        <f t="shared" si="57"/>
        <v>OK</v>
      </c>
    </row>
    <row r="628" spans="1:23">
      <c r="A628" s="1">
        <v>57246</v>
      </c>
      <c r="B628" s="10">
        <v>45952</v>
      </c>
      <c r="C628" s="1">
        <v>16</v>
      </c>
      <c r="D628" s="1" t="s">
        <v>63</v>
      </c>
      <c r="E628" s="1" t="s">
        <v>72</v>
      </c>
      <c r="F628" s="1" t="s">
        <v>84</v>
      </c>
      <c r="G628" s="1" t="s">
        <v>81</v>
      </c>
      <c r="H628" s="1" t="s">
        <v>68</v>
      </c>
      <c r="I628" s="1" t="s">
        <v>130</v>
      </c>
      <c r="J628" s="24">
        <v>156.5</v>
      </c>
      <c r="K628" s="24">
        <v>300.97000000000003</v>
      </c>
      <c r="L628" s="28">
        <v>144.47</v>
      </c>
      <c r="M628" s="1">
        <v>17</v>
      </c>
      <c r="N628" s="28">
        <v>5116.4900000000007</v>
      </c>
      <c r="O628" s="29">
        <v>0.05</v>
      </c>
      <c r="P628" s="28">
        <v>255.82450000000011</v>
      </c>
      <c r="Q628" s="28">
        <v>4860.665500000001</v>
      </c>
      <c r="R628" s="1" t="str">
        <f t="shared" si="54"/>
        <v>Oct</v>
      </c>
      <c r="S628" s="28">
        <f t="shared" si="58"/>
        <v>2660.5</v>
      </c>
      <c r="T628" s="28">
        <f t="shared" si="59"/>
        <v>2200.165500000001</v>
      </c>
      <c r="U628" s="11">
        <f t="shared" si="55"/>
        <v>0.45264696778661284</v>
      </c>
      <c r="V628" s="1" t="str">
        <f t="shared" si="56"/>
        <v>Very Slow</v>
      </c>
      <c r="W628" s="1" t="str">
        <f t="shared" si="57"/>
        <v>OK</v>
      </c>
    </row>
    <row r="629" spans="1:23">
      <c r="A629" s="1">
        <v>57247</v>
      </c>
      <c r="B629" s="10">
        <v>45953</v>
      </c>
      <c r="C629" s="1">
        <v>16</v>
      </c>
      <c r="D629" s="1" t="s">
        <v>78</v>
      </c>
      <c r="E629" s="1" t="s">
        <v>58</v>
      </c>
      <c r="F629" s="1" t="s">
        <v>79</v>
      </c>
      <c r="G629" s="1" t="s">
        <v>60</v>
      </c>
      <c r="H629" s="1" t="s">
        <v>70</v>
      </c>
      <c r="I629" s="1" t="s">
        <v>80</v>
      </c>
      <c r="J629" s="24">
        <v>4.46</v>
      </c>
      <c r="K629" s="24">
        <v>10.89</v>
      </c>
      <c r="L629" s="28">
        <v>6.4300000000000006</v>
      </c>
      <c r="M629" s="1">
        <v>3</v>
      </c>
      <c r="N629" s="28">
        <v>32.67</v>
      </c>
      <c r="O629" s="29">
        <v>0.08</v>
      </c>
      <c r="P629" s="28">
        <v>2.6135999999999999</v>
      </c>
      <c r="Q629" s="28">
        <v>30.0564</v>
      </c>
      <c r="R629" s="1" t="str">
        <f t="shared" si="54"/>
        <v>Oct</v>
      </c>
      <c r="S629" s="28">
        <f t="shared" si="58"/>
        <v>13.379999999999999</v>
      </c>
      <c r="T629" s="28">
        <f t="shared" si="59"/>
        <v>16.676400000000001</v>
      </c>
      <c r="U629" s="11">
        <f t="shared" si="55"/>
        <v>0.55483690661556273</v>
      </c>
      <c r="V629" s="1" t="str">
        <f t="shared" si="56"/>
        <v>Very Slow</v>
      </c>
      <c r="W629" s="1" t="str">
        <f t="shared" si="57"/>
        <v>OK</v>
      </c>
    </row>
    <row r="630" spans="1:23">
      <c r="A630" s="1">
        <v>57248</v>
      </c>
      <c r="B630" s="10">
        <v>45953</v>
      </c>
      <c r="C630" s="1">
        <v>15</v>
      </c>
      <c r="D630" s="1" t="s">
        <v>57</v>
      </c>
      <c r="E630" s="1" t="s">
        <v>72</v>
      </c>
      <c r="F630" s="1" t="s">
        <v>73</v>
      </c>
      <c r="G630" s="1" t="s">
        <v>81</v>
      </c>
      <c r="H630" s="1" t="s">
        <v>70</v>
      </c>
      <c r="I630" s="1" t="s">
        <v>113</v>
      </c>
      <c r="J630" s="24">
        <v>10.07</v>
      </c>
      <c r="K630" s="24">
        <v>15.98</v>
      </c>
      <c r="L630" s="28">
        <v>5.91</v>
      </c>
      <c r="M630" s="1">
        <v>32</v>
      </c>
      <c r="N630" s="28">
        <v>511.36</v>
      </c>
      <c r="O630" s="29">
        <v>0.04</v>
      </c>
      <c r="P630" s="28">
        <v>20.4544</v>
      </c>
      <c r="Q630" s="28">
        <v>490.90559999999999</v>
      </c>
      <c r="R630" s="1" t="str">
        <f t="shared" si="54"/>
        <v>Oct</v>
      </c>
      <c r="S630" s="28">
        <f t="shared" si="58"/>
        <v>322.24</v>
      </c>
      <c r="T630" s="28">
        <f t="shared" si="59"/>
        <v>168.66559999999998</v>
      </c>
      <c r="U630" s="11">
        <f t="shared" si="55"/>
        <v>0.3435805173133083</v>
      </c>
      <c r="V630" s="1" t="str">
        <f t="shared" si="56"/>
        <v>Very Slow</v>
      </c>
      <c r="W630" s="1" t="str">
        <f t="shared" si="57"/>
        <v>OK</v>
      </c>
    </row>
    <row r="631" spans="1:23">
      <c r="A631" s="1">
        <v>57249</v>
      </c>
      <c r="B631" s="10">
        <v>45954</v>
      </c>
      <c r="C631" s="1">
        <v>2</v>
      </c>
      <c r="D631" s="1" t="s">
        <v>57</v>
      </c>
      <c r="E631" s="1" t="s">
        <v>58</v>
      </c>
      <c r="F631" s="1" t="s">
        <v>88</v>
      </c>
      <c r="G631" s="1" t="s">
        <v>81</v>
      </c>
      <c r="H631" s="1" t="s">
        <v>61</v>
      </c>
      <c r="I631" s="1" t="s">
        <v>113</v>
      </c>
      <c r="J631" s="24">
        <v>10.07</v>
      </c>
      <c r="K631" s="24">
        <v>15.98</v>
      </c>
      <c r="L631" s="28">
        <v>5.91</v>
      </c>
      <c r="M631" s="1">
        <v>27</v>
      </c>
      <c r="N631" s="28">
        <v>431.46</v>
      </c>
      <c r="O631" s="29">
        <v>0.08</v>
      </c>
      <c r="P631" s="28">
        <v>34.516800000000003</v>
      </c>
      <c r="Q631" s="28">
        <v>396.94319999999999</v>
      </c>
      <c r="R631" s="1" t="str">
        <f t="shared" si="54"/>
        <v>Oct</v>
      </c>
      <c r="S631" s="28">
        <f t="shared" si="58"/>
        <v>271.89</v>
      </c>
      <c r="T631" s="28">
        <f t="shared" si="59"/>
        <v>125.0532</v>
      </c>
      <c r="U631" s="11">
        <f t="shared" si="55"/>
        <v>0.31504053980519131</v>
      </c>
      <c r="V631" s="1" t="str">
        <f t="shared" si="56"/>
        <v>Fast</v>
      </c>
      <c r="W631" s="1" t="str">
        <f t="shared" si="57"/>
        <v>OK</v>
      </c>
    </row>
    <row r="632" spans="1:23">
      <c r="A632" s="1">
        <v>57250</v>
      </c>
      <c r="B632" s="10">
        <v>45954</v>
      </c>
      <c r="C632" s="1">
        <v>18</v>
      </c>
      <c r="D632" s="1" t="s">
        <v>57</v>
      </c>
      <c r="E632" s="1" t="s">
        <v>87</v>
      </c>
      <c r="F632" s="1" t="s">
        <v>98</v>
      </c>
      <c r="G632" s="1" t="s">
        <v>60</v>
      </c>
      <c r="H632" s="1" t="s">
        <v>68</v>
      </c>
      <c r="I632" s="1" t="s">
        <v>176</v>
      </c>
      <c r="J632" s="24">
        <v>3.84</v>
      </c>
      <c r="K632" s="24">
        <v>6.3</v>
      </c>
      <c r="L632" s="28">
        <v>2.46</v>
      </c>
      <c r="M632" s="1">
        <v>37</v>
      </c>
      <c r="N632" s="28">
        <v>233.1</v>
      </c>
      <c r="O632" s="29">
        <v>0.04</v>
      </c>
      <c r="P632" s="28">
        <v>9.3239999999999998</v>
      </c>
      <c r="Q632" s="28">
        <v>223.77600000000001</v>
      </c>
      <c r="R632" s="1" t="str">
        <f t="shared" si="54"/>
        <v>Oct</v>
      </c>
      <c r="S632" s="28">
        <f t="shared" si="58"/>
        <v>142.07999999999998</v>
      </c>
      <c r="T632" s="28">
        <f t="shared" si="59"/>
        <v>81.696000000000026</v>
      </c>
      <c r="U632" s="11">
        <f t="shared" si="55"/>
        <v>0.36507936507936517</v>
      </c>
      <c r="V632" s="1" t="str">
        <f t="shared" si="56"/>
        <v>Very Slow</v>
      </c>
      <c r="W632" s="1" t="str">
        <f t="shared" si="57"/>
        <v>OK</v>
      </c>
    </row>
    <row r="633" spans="1:23">
      <c r="A633" s="1">
        <v>57251</v>
      </c>
      <c r="B633" s="10">
        <v>45954</v>
      </c>
      <c r="C633" s="1">
        <v>12</v>
      </c>
      <c r="D633" s="1" t="s">
        <v>63</v>
      </c>
      <c r="E633" s="1" t="s">
        <v>67</v>
      </c>
      <c r="F633" s="1" t="s">
        <v>59</v>
      </c>
      <c r="G633" s="1" t="s">
        <v>81</v>
      </c>
      <c r="H633" s="1" t="s">
        <v>68</v>
      </c>
      <c r="I633" s="1" t="s">
        <v>206</v>
      </c>
      <c r="J633" s="24">
        <v>75</v>
      </c>
      <c r="K633" s="24">
        <v>120.97</v>
      </c>
      <c r="L633" s="28">
        <v>45.97</v>
      </c>
      <c r="M633" s="1">
        <v>50</v>
      </c>
      <c r="N633" s="28">
        <v>6048.5</v>
      </c>
      <c r="O633" s="29">
        <v>7.0000000000000007E-2</v>
      </c>
      <c r="P633" s="28">
        <v>423.39499999999998</v>
      </c>
      <c r="Q633" s="28">
        <v>5625.1049999999996</v>
      </c>
      <c r="R633" s="1" t="str">
        <f t="shared" si="54"/>
        <v>Oct</v>
      </c>
      <c r="S633" s="28">
        <f t="shared" si="58"/>
        <v>3750</v>
      </c>
      <c r="T633" s="28">
        <f t="shared" si="59"/>
        <v>1875.1049999999996</v>
      </c>
      <c r="U633" s="11">
        <f t="shared" si="55"/>
        <v>0.33334577754548578</v>
      </c>
      <c r="V633" s="1" t="str">
        <f t="shared" si="56"/>
        <v>Slow</v>
      </c>
      <c r="W633" s="1" t="str">
        <f t="shared" si="57"/>
        <v>OK</v>
      </c>
    </row>
    <row r="634" spans="1:23">
      <c r="A634" s="1">
        <v>57252</v>
      </c>
      <c r="B634" s="10">
        <v>45954</v>
      </c>
      <c r="C634" s="1">
        <v>23</v>
      </c>
      <c r="D634" s="1" t="s">
        <v>57</v>
      </c>
      <c r="E634" s="1" t="s">
        <v>58</v>
      </c>
      <c r="F634" s="1" t="s">
        <v>18</v>
      </c>
      <c r="G634" s="1" t="s">
        <v>60</v>
      </c>
      <c r="H634" s="1" t="s">
        <v>68</v>
      </c>
      <c r="I634" s="1" t="s">
        <v>138</v>
      </c>
      <c r="J634" s="24">
        <v>1.92</v>
      </c>
      <c r="K634" s="24">
        <v>3.26</v>
      </c>
      <c r="L634" s="28">
        <v>1.34</v>
      </c>
      <c r="M634" s="1">
        <v>31</v>
      </c>
      <c r="N634" s="28">
        <v>101.06</v>
      </c>
      <c r="O634" s="29">
        <v>0</v>
      </c>
      <c r="P634" s="28">
        <v>0</v>
      </c>
      <c r="Q634" s="28">
        <v>101.06</v>
      </c>
      <c r="R634" s="1" t="str">
        <f t="shared" si="54"/>
        <v>Oct</v>
      </c>
      <c r="S634" s="28">
        <f t="shared" si="58"/>
        <v>59.519999999999996</v>
      </c>
      <c r="T634" s="28">
        <f t="shared" si="59"/>
        <v>41.540000000000006</v>
      </c>
      <c r="U634" s="11">
        <f t="shared" si="55"/>
        <v>0.41104294478527614</v>
      </c>
      <c r="V634" s="1" t="str">
        <f t="shared" si="56"/>
        <v>Very Slow</v>
      </c>
      <c r="W634" s="1" t="str">
        <f t="shared" si="57"/>
        <v>OK</v>
      </c>
    </row>
    <row r="635" spans="1:23">
      <c r="A635" s="1">
        <v>57253</v>
      </c>
      <c r="B635" s="10">
        <v>45954</v>
      </c>
      <c r="C635" s="1">
        <v>14</v>
      </c>
      <c r="D635" s="1" t="s">
        <v>57</v>
      </c>
      <c r="E635" s="1" t="s">
        <v>67</v>
      </c>
      <c r="F635" s="1" t="s">
        <v>79</v>
      </c>
      <c r="G635" s="1" t="s">
        <v>60</v>
      </c>
      <c r="H635" s="1" t="s">
        <v>70</v>
      </c>
      <c r="I635" s="1" t="s">
        <v>199</v>
      </c>
      <c r="J635" s="24">
        <v>2.98</v>
      </c>
      <c r="K635" s="24">
        <v>5.84</v>
      </c>
      <c r="L635" s="28">
        <v>2.86</v>
      </c>
      <c r="M635" s="1">
        <v>26</v>
      </c>
      <c r="N635" s="28">
        <v>151.84</v>
      </c>
      <c r="O635" s="29">
        <v>0.1</v>
      </c>
      <c r="P635" s="28">
        <v>15.183999999999999</v>
      </c>
      <c r="Q635" s="28">
        <v>136.65600000000001</v>
      </c>
      <c r="R635" s="1" t="str">
        <f t="shared" si="54"/>
        <v>Oct</v>
      </c>
      <c r="S635" s="28">
        <f t="shared" si="58"/>
        <v>77.48</v>
      </c>
      <c r="T635" s="28">
        <f t="shared" si="59"/>
        <v>59.176000000000002</v>
      </c>
      <c r="U635" s="11">
        <f t="shared" si="55"/>
        <v>0.4330289193302892</v>
      </c>
      <c r="V635" s="1" t="str">
        <f t="shared" si="56"/>
        <v>Slow</v>
      </c>
      <c r="W635" s="1" t="str">
        <f t="shared" si="57"/>
        <v>OK</v>
      </c>
    </row>
    <row r="636" spans="1:23">
      <c r="A636" s="1">
        <v>57254</v>
      </c>
      <c r="B636" s="10">
        <v>45955</v>
      </c>
      <c r="C636" s="1">
        <v>22</v>
      </c>
      <c r="D636" s="1" t="s">
        <v>57</v>
      </c>
      <c r="E636" s="1" t="s">
        <v>67</v>
      </c>
      <c r="F636" s="1" t="s">
        <v>79</v>
      </c>
      <c r="G636" s="1" t="s">
        <v>60</v>
      </c>
      <c r="H636" s="1" t="s">
        <v>61</v>
      </c>
      <c r="I636" s="1" t="s">
        <v>205</v>
      </c>
      <c r="J636" s="24">
        <v>2.5</v>
      </c>
      <c r="K636" s="24">
        <v>5.68</v>
      </c>
      <c r="L636" s="28">
        <v>3.18</v>
      </c>
      <c r="M636" s="1">
        <v>26</v>
      </c>
      <c r="N636" s="28">
        <v>147.68</v>
      </c>
      <c r="O636" s="29">
        <v>0.01</v>
      </c>
      <c r="P636" s="28">
        <v>1.4767999999999999</v>
      </c>
      <c r="Q636" s="28">
        <v>146.20320000000001</v>
      </c>
      <c r="R636" s="1" t="str">
        <f t="shared" si="54"/>
        <v>Oct</v>
      </c>
      <c r="S636" s="28">
        <f t="shared" si="58"/>
        <v>65</v>
      </c>
      <c r="T636" s="28">
        <f t="shared" si="59"/>
        <v>81.20320000000001</v>
      </c>
      <c r="U636" s="11">
        <f t="shared" si="55"/>
        <v>0.55541328780765409</v>
      </c>
      <c r="V636" s="1" t="str">
        <f t="shared" si="56"/>
        <v>Very Slow</v>
      </c>
      <c r="W636" s="1" t="str">
        <f t="shared" si="57"/>
        <v>OK</v>
      </c>
    </row>
    <row r="637" spans="1:23">
      <c r="A637" s="1">
        <v>57255</v>
      </c>
      <c r="B637" s="10">
        <v>45956</v>
      </c>
      <c r="C637" s="1">
        <v>9</v>
      </c>
      <c r="D637" s="1" t="s">
        <v>63</v>
      </c>
      <c r="E637" s="1" t="s">
        <v>58</v>
      </c>
      <c r="F637" s="1" t="s">
        <v>98</v>
      </c>
      <c r="G637" s="1" t="s">
        <v>60</v>
      </c>
      <c r="H637" s="1" t="s">
        <v>68</v>
      </c>
      <c r="I637" s="1" t="s">
        <v>151</v>
      </c>
      <c r="J637" s="24">
        <v>2.31</v>
      </c>
      <c r="K637" s="24">
        <v>3.78</v>
      </c>
      <c r="L637" s="28">
        <v>1.47</v>
      </c>
      <c r="M637" s="1">
        <v>37</v>
      </c>
      <c r="N637" s="28">
        <v>139.86000000000001</v>
      </c>
      <c r="O637" s="29">
        <v>0.03</v>
      </c>
      <c r="P637" s="28">
        <v>4.1957999999999993</v>
      </c>
      <c r="Q637" s="28">
        <v>135.66419999999999</v>
      </c>
      <c r="R637" s="1" t="str">
        <f t="shared" si="54"/>
        <v>Oct</v>
      </c>
      <c r="S637" s="28">
        <f t="shared" si="58"/>
        <v>85.47</v>
      </c>
      <c r="T637" s="28">
        <f t="shared" si="59"/>
        <v>50.194199999999995</v>
      </c>
      <c r="U637" s="11">
        <f t="shared" si="55"/>
        <v>0.36998854524627717</v>
      </c>
      <c r="V637" s="1" t="str">
        <f t="shared" si="56"/>
        <v>Slow</v>
      </c>
      <c r="W637" s="1" t="str">
        <f t="shared" si="57"/>
        <v>OK</v>
      </c>
    </row>
    <row r="638" spans="1:23">
      <c r="A638" s="1">
        <v>57256</v>
      </c>
      <c r="B638" s="10">
        <v>45956</v>
      </c>
      <c r="C638" s="1">
        <v>9</v>
      </c>
      <c r="D638" s="1" t="s">
        <v>78</v>
      </c>
      <c r="E638" s="1" t="s">
        <v>67</v>
      </c>
      <c r="F638" s="1" t="s">
        <v>79</v>
      </c>
      <c r="G638" s="1" t="s">
        <v>81</v>
      </c>
      <c r="H638" s="1" t="s">
        <v>65</v>
      </c>
      <c r="I638" s="1" t="s">
        <v>156</v>
      </c>
      <c r="J638" s="24">
        <v>60.59</v>
      </c>
      <c r="K638" s="24">
        <v>100.98</v>
      </c>
      <c r="L638" s="28">
        <v>40.39</v>
      </c>
      <c r="M638" s="1">
        <v>52</v>
      </c>
      <c r="N638" s="28">
        <v>5250.96</v>
      </c>
      <c r="O638" s="29">
        <v>0.09</v>
      </c>
      <c r="P638" s="28">
        <v>472.58640000000003</v>
      </c>
      <c r="Q638" s="28">
        <v>4778.3735999999999</v>
      </c>
      <c r="R638" s="1" t="str">
        <f t="shared" si="54"/>
        <v>Oct</v>
      </c>
      <c r="S638" s="28">
        <f t="shared" si="58"/>
        <v>3150.6800000000003</v>
      </c>
      <c r="T638" s="28">
        <f t="shared" si="59"/>
        <v>1627.6935999999996</v>
      </c>
      <c r="U638" s="11">
        <f t="shared" si="55"/>
        <v>0.34063757593169353</v>
      </c>
      <c r="V638" s="1" t="str">
        <f t="shared" si="56"/>
        <v>Slow</v>
      </c>
      <c r="W638" s="1" t="str">
        <f t="shared" si="57"/>
        <v>OK</v>
      </c>
    </row>
    <row r="639" spans="1:23">
      <c r="A639" s="1">
        <v>57257</v>
      </c>
      <c r="B639" s="10">
        <v>45957</v>
      </c>
      <c r="C639" s="1">
        <v>10</v>
      </c>
      <c r="D639" s="1" t="s">
        <v>57</v>
      </c>
      <c r="E639" s="1" t="s">
        <v>72</v>
      </c>
      <c r="F639" s="1" t="s">
        <v>73</v>
      </c>
      <c r="G639" s="1" t="s">
        <v>81</v>
      </c>
      <c r="H639" s="1" t="s">
        <v>68</v>
      </c>
      <c r="I639" s="1" t="s">
        <v>82</v>
      </c>
      <c r="J639" s="24">
        <v>62.4</v>
      </c>
      <c r="K639" s="24">
        <v>155.99</v>
      </c>
      <c r="L639" s="28">
        <v>93.59</v>
      </c>
      <c r="M639" s="1">
        <v>21</v>
      </c>
      <c r="N639" s="28">
        <v>3275.79</v>
      </c>
      <c r="O639" s="29">
        <v>0.02</v>
      </c>
      <c r="P639" s="28">
        <v>65.515799999999999</v>
      </c>
      <c r="Q639" s="28">
        <v>3210.2741999999998</v>
      </c>
      <c r="R639" s="1" t="str">
        <f t="shared" si="54"/>
        <v>Oct</v>
      </c>
      <c r="S639" s="28">
        <f t="shared" si="58"/>
        <v>1310.3999999999999</v>
      </c>
      <c r="T639" s="28">
        <f t="shared" si="59"/>
        <v>1899.8742</v>
      </c>
      <c r="U639" s="11">
        <f t="shared" si="55"/>
        <v>0.59181056870469195</v>
      </c>
      <c r="V639" s="1" t="str">
        <f t="shared" si="56"/>
        <v>Slow</v>
      </c>
      <c r="W639" s="1" t="str">
        <f t="shared" si="57"/>
        <v>OK</v>
      </c>
    </row>
    <row r="640" spans="1:23">
      <c r="A640" s="1">
        <v>57258</v>
      </c>
      <c r="B640" s="10">
        <v>45957</v>
      </c>
      <c r="C640" s="1">
        <v>1</v>
      </c>
      <c r="D640" s="1" t="s">
        <v>57</v>
      </c>
      <c r="E640" s="1" t="s">
        <v>72</v>
      </c>
      <c r="F640" s="1" t="s">
        <v>73</v>
      </c>
      <c r="G640" s="1" t="s">
        <v>60</v>
      </c>
      <c r="H640" s="1" t="s">
        <v>90</v>
      </c>
      <c r="I640" s="1" t="s">
        <v>138</v>
      </c>
      <c r="J640" s="24">
        <v>1.92</v>
      </c>
      <c r="K640" s="24">
        <v>3.26</v>
      </c>
      <c r="L640" s="28">
        <v>1.34</v>
      </c>
      <c r="M640" s="1">
        <v>38</v>
      </c>
      <c r="N640" s="28">
        <v>123.88</v>
      </c>
      <c r="O640" s="29">
        <v>0.02</v>
      </c>
      <c r="P640" s="28">
        <v>2.4775999999999998</v>
      </c>
      <c r="Q640" s="28">
        <v>121.4024</v>
      </c>
      <c r="R640" s="1" t="str">
        <f t="shared" si="54"/>
        <v>Oct</v>
      </c>
      <c r="S640" s="28">
        <f t="shared" si="58"/>
        <v>72.959999999999994</v>
      </c>
      <c r="T640" s="28">
        <f t="shared" si="59"/>
        <v>48.442400000000006</v>
      </c>
      <c r="U640" s="11">
        <f t="shared" si="55"/>
        <v>0.39902341304620015</v>
      </c>
      <c r="V640" s="1" t="str">
        <f t="shared" si="56"/>
        <v>Fast</v>
      </c>
      <c r="W640" s="1" t="str">
        <f t="shared" si="57"/>
        <v>OK</v>
      </c>
    </row>
    <row r="641" spans="1:23">
      <c r="A641" s="1">
        <v>57259</v>
      </c>
      <c r="B641" s="10">
        <v>45957</v>
      </c>
      <c r="C641" s="1">
        <v>14</v>
      </c>
      <c r="D641" s="1" t="s">
        <v>57</v>
      </c>
      <c r="E641" s="1" t="s">
        <v>87</v>
      </c>
      <c r="F641" s="1" t="s">
        <v>84</v>
      </c>
      <c r="G641" s="1" t="s">
        <v>60</v>
      </c>
      <c r="H641" s="1" t="s">
        <v>90</v>
      </c>
      <c r="I641" s="1" t="s">
        <v>175</v>
      </c>
      <c r="J641" s="24">
        <v>4.79</v>
      </c>
      <c r="K641" s="24">
        <v>11.97</v>
      </c>
      <c r="L641" s="28">
        <v>7.1800000000000006</v>
      </c>
      <c r="M641" s="1">
        <v>44</v>
      </c>
      <c r="N641" s="28">
        <v>526.68000000000006</v>
      </c>
      <c r="O641" s="29">
        <v>0.02</v>
      </c>
      <c r="P641" s="28">
        <v>10.5336</v>
      </c>
      <c r="Q641" s="28">
        <v>516.14640000000009</v>
      </c>
      <c r="R641" s="1" t="str">
        <f t="shared" si="54"/>
        <v>Oct</v>
      </c>
      <c r="S641" s="28">
        <f t="shared" si="58"/>
        <v>210.76</v>
      </c>
      <c r="T641" s="28">
        <f t="shared" si="59"/>
        <v>305.38640000000009</v>
      </c>
      <c r="U641" s="11">
        <f t="shared" si="55"/>
        <v>0.59166624043100957</v>
      </c>
      <c r="V641" s="1" t="str">
        <f t="shared" si="56"/>
        <v>Slow</v>
      </c>
      <c r="W641" s="1" t="str">
        <f t="shared" si="57"/>
        <v>OK</v>
      </c>
    </row>
    <row r="642" spans="1:23">
      <c r="A642" s="1">
        <v>57260</v>
      </c>
      <c r="B642" s="10">
        <v>45958</v>
      </c>
      <c r="C642" s="1">
        <v>8</v>
      </c>
      <c r="D642" s="1" t="s">
        <v>63</v>
      </c>
      <c r="E642" s="1" t="s">
        <v>87</v>
      </c>
      <c r="F642" s="1" t="s">
        <v>98</v>
      </c>
      <c r="G642" s="1" t="s">
        <v>60</v>
      </c>
      <c r="H642" s="1" t="s">
        <v>90</v>
      </c>
      <c r="I642" s="1" t="s">
        <v>118</v>
      </c>
      <c r="J642" s="24">
        <v>3.32</v>
      </c>
      <c r="K642" s="24">
        <v>5.18</v>
      </c>
      <c r="L642" s="28">
        <v>1.86</v>
      </c>
      <c r="M642" s="1">
        <v>21</v>
      </c>
      <c r="N642" s="28">
        <v>108.78</v>
      </c>
      <c r="O642" s="29">
        <v>0.06</v>
      </c>
      <c r="P642" s="28">
        <v>6.5267999999999997</v>
      </c>
      <c r="Q642" s="28">
        <v>102.25320000000001</v>
      </c>
      <c r="R642" s="1" t="str">
        <f t="shared" si="54"/>
        <v>Oct</v>
      </c>
      <c r="S642" s="28">
        <f t="shared" si="58"/>
        <v>69.72</v>
      </c>
      <c r="T642" s="28">
        <f t="shared" si="59"/>
        <v>32.533200000000008</v>
      </c>
      <c r="U642" s="11">
        <f t="shared" si="55"/>
        <v>0.31816314795038203</v>
      </c>
      <c r="V642" s="1" t="str">
        <f t="shared" si="56"/>
        <v>Slow</v>
      </c>
      <c r="W642" s="1" t="str">
        <f t="shared" si="57"/>
        <v>OK</v>
      </c>
    </row>
    <row r="643" spans="1:23">
      <c r="A643" s="1">
        <v>57261</v>
      </c>
      <c r="B643" s="10">
        <v>45958</v>
      </c>
      <c r="C643" s="1">
        <v>5</v>
      </c>
      <c r="D643" s="1" t="s">
        <v>57</v>
      </c>
      <c r="E643" s="1" t="s">
        <v>58</v>
      </c>
      <c r="F643" s="1" t="s">
        <v>59</v>
      </c>
      <c r="G643" s="1" t="s">
        <v>60</v>
      </c>
      <c r="H643" s="1" t="s">
        <v>90</v>
      </c>
      <c r="I643" s="1" t="s">
        <v>131</v>
      </c>
      <c r="J643" s="24">
        <v>0.24</v>
      </c>
      <c r="K643" s="24">
        <v>1.26</v>
      </c>
      <c r="L643" s="28">
        <v>1.02</v>
      </c>
      <c r="M643" s="1">
        <v>34</v>
      </c>
      <c r="N643" s="28">
        <v>42.84</v>
      </c>
      <c r="O643" s="29">
        <v>0.06</v>
      </c>
      <c r="P643" s="28">
        <v>2.5703999999999998</v>
      </c>
      <c r="Q643" s="28">
        <v>40.269599999999997</v>
      </c>
      <c r="R643" s="1" t="str">
        <f t="shared" si="54"/>
        <v>Oct</v>
      </c>
      <c r="S643" s="28">
        <f t="shared" si="58"/>
        <v>8.16</v>
      </c>
      <c r="T643" s="28">
        <f t="shared" si="59"/>
        <v>32.1096</v>
      </c>
      <c r="U643" s="11">
        <f t="shared" si="55"/>
        <v>0.79736575481256344</v>
      </c>
      <c r="V643" s="1" t="str">
        <f t="shared" si="56"/>
        <v>Standard</v>
      </c>
      <c r="W643" s="1" t="str">
        <f t="shared" si="57"/>
        <v>OK</v>
      </c>
    </row>
    <row r="644" spans="1:23">
      <c r="A644" s="1">
        <v>57262</v>
      </c>
      <c r="B644" s="10">
        <v>45958</v>
      </c>
      <c r="C644" s="1">
        <v>19</v>
      </c>
      <c r="D644" s="1" t="s">
        <v>63</v>
      </c>
      <c r="E644" s="1" t="s">
        <v>87</v>
      </c>
      <c r="F644" s="1" t="s">
        <v>98</v>
      </c>
      <c r="G644" s="1" t="s">
        <v>60</v>
      </c>
      <c r="H644" s="1" t="s">
        <v>61</v>
      </c>
      <c r="I644" s="1" t="s">
        <v>123</v>
      </c>
      <c r="J644" s="24">
        <v>1.18</v>
      </c>
      <c r="K644" s="24">
        <v>1.88</v>
      </c>
      <c r="L644" s="28">
        <v>0.7</v>
      </c>
      <c r="M644" s="1">
        <v>41</v>
      </c>
      <c r="N644" s="28">
        <v>77.08</v>
      </c>
      <c r="O644" s="29">
        <v>0.06</v>
      </c>
      <c r="P644" s="28">
        <v>4.6247999999999996</v>
      </c>
      <c r="Q644" s="28">
        <v>72.455200000000005</v>
      </c>
      <c r="R644" s="1" t="str">
        <f t="shared" si="54"/>
        <v>Oct</v>
      </c>
      <c r="S644" s="28">
        <f t="shared" si="58"/>
        <v>48.379999999999995</v>
      </c>
      <c r="T644" s="28">
        <f t="shared" si="59"/>
        <v>24.075200000000009</v>
      </c>
      <c r="U644" s="11">
        <f t="shared" si="55"/>
        <v>0.33227704843820743</v>
      </c>
      <c r="V644" s="1" t="str">
        <f t="shared" si="56"/>
        <v>Very Slow</v>
      </c>
      <c r="W644" s="1" t="str">
        <f t="shared" si="57"/>
        <v>OK</v>
      </c>
    </row>
    <row r="645" spans="1:23">
      <c r="A645" s="1">
        <v>57263</v>
      </c>
      <c r="B645" s="10">
        <v>45958</v>
      </c>
      <c r="C645" s="1">
        <v>5</v>
      </c>
      <c r="D645" s="1" t="s">
        <v>57</v>
      </c>
      <c r="E645" s="1" t="s">
        <v>87</v>
      </c>
      <c r="F645" s="1" t="s">
        <v>98</v>
      </c>
      <c r="G645" s="1" t="s">
        <v>60</v>
      </c>
      <c r="H645" s="1" t="s">
        <v>61</v>
      </c>
      <c r="I645" s="1" t="s">
        <v>95</v>
      </c>
      <c r="J645" s="24">
        <v>1.31</v>
      </c>
      <c r="K645" s="24">
        <v>2.84</v>
      </c>
      <c r="L645" s="28">
        <v>1.53</v>
      </c>
      <c r="M645" s="1">
        <v>34</v>
      </c>
      <c r="N645" s="28">
        <v>96.56</v>
      </c>
      <c r="O645" s="29">
        <v>0.08</v>
      </c>
      <c r="P645" s="28">
        <v>7.7248000000000001</v>
      </c>
      <c r="Q645" s="28">
        <v>88.8352</v>
      </c>
      <c r="R645" s="1" t="str">
        <f t="shared" ref="R645:R708" si="60">TEXT(B645,"mmm")</f>
        <v>Oct</v>
      </c>
      <c r="S645" s="28">
        <f t="shared" si="58"/>
        <v>44.54</v>
      </c>
      <c r="T645" s="28">
        <f t="shared" si="59"/>
        <v>44.295200000000001</v>
      </c>
      <c r="U645" s="11">
        <f t="shared" ref="U645:U708" si="61">IF(Q645=0,0,T645/Q645)</f>
        <v>0.49862216778934476</v>
      </c>
      <c r="V645" s="1" t="str">
        <f t="shared" ref="V645:V708" si="62">IF(C645&lt;=3,"Fast",IF(C645&lt;=7,"Standard",IF(C645&lt;=14,"Slow","Very Slow")))</f>
        <v>Standard</v>
      </c>
      <c r="W645" s="1" t="str">
        <f t="shared" ref="W645:W708" si="63">IF(OR(H645="Not Specifiedd",P645&lt;0),"Review","OK")</f>
        <v>OK</v>
      </c>
    </row>
    <row r="646" spans="1:23">
      <c r="A646" s="1">
        <v>57264</v>
      </c>
      <c r="B646" s="10">
        <v>45960</v>
      </c>
      <c r="C646" s="1">
        <v>9</v>
      </c>
      <c r="D646" s="1" t="s">
        <v>57</v>
      </c>
      <c r="E646" s="1" t="s">
        <v>67</v>
      </c>
      <c r="F646" s="1" t="s">
        <v>108</v>
      </c>
      <c r="G646" s="1" t="s">
        <v>60</v>
      </c>
      <c r="H646" s="1" t="s">
        <v>65</v>
      </c>
      <c r="I646" s="1" t="s">
        <v>124</v>
      </c>
      <c r="J646" s="24">
        <v>2.25</v>
      </c>
      <c r="K646" s="24">
        <v>3.69</v>
      </c>
      <c r="L646" s="28">
        <v>1.44</v>
      </c>
      <c r="M646" s="1">
        <v>19</v>
      </c>
      <c r="N646" s="28">
        <v>70.11</v>
      </c>
      <c r="O646" s="29">
        <v>0.02</v>
      </c>
      <c r="P646" s="28">
        <v>1.4021999999999999</v>
      </c>
      <c r="Q646" s="28">
        <v>68.707800000000006</v>
      </c>
      <c r="R646" s="1" t="str">
        <f t="shared" si="60"/>
        <v>Oct</v>
      </c>
      <c r="S646" s="28">
        <f t="shared" ref="S646:S709" si="64">J646*M646</f>
        <v>42.75</v>
      </c>
      <c r="T646" s="28">
        <f t="shared" ref="T646:T709" si="65">Q646-S646</f>
        <v>25.957800000000006</v>
      </c>
      <c r="U646" s="11">
        <f t="shared" si="61"/>
        <v>0.37779990044798412</v>
      </c>
      <c r="V646" s="1" t="str">
        <f t="shared" si="62"/>
        <v>Slow</v>
      </c>
      <c r="W646" s="1" t="str">
        <f t="shared" si="63"/>
        <v>OK</v>
      </c>
    </row>
    <row r="647" spans="1:23">
      <c r="A647" s="1">
        <v>57265</v>
      </c>
      <c r="B647" s="10">
        <v>45961</v>
      </c>
      <c r="C647" s="1">
        <v>18</v>
      </c>
      <c r="D647" s="1" t="s">
        <v>63</v>
      </c>
      <c r="E647" s="1" t="s">
        <v>67</v>
      </c>
      <c r="F647" s="1" t="s">
        <v>96</v>
      </c>
      <c r="G647" s="1" t="s">
        <v>60</v>
      </c>
      <c r="H647" s="1" t="s">
        <v>61</v>
      </c>
      <c r="I647" s="1" t="s">
        <v>89</v>
      </c>
      <c r="J647" s="24">
        <v>1.76</v>
      </c>
      <c r="K647" s="24">
        <v>2.94</v>
      </c>
      <c r="L647" s="28">
        <v>1.18</v>
      </c>
      <c r="M647" s="1">
        <v>54</v>
      </c>
      <c r="N647" s="28">
        <v>158.76</v>
      </c>
      <c r="O647" s="29">
        <v>0.04</v>
      </c>
      <c r="P647" s="28">
        <v>6.3503999999999996</v>
      </c>
      <c r="Q647" s="28">
        <v>152.40960000000001</v>
      </c>
      <c r="R647" s="1" t="str">
        <f t="shared" si="60"/>
        <v>Oct</v>
      </c>
      <c r="S647" s="28">
        <f t="shared" si="64"/>
        <v>95.04</v>
      </c>
      <c r="T647" s="28">
        <f t="shared" si="65"/>
        <v>57.369600000000005</v>
      </c>
      <c r="U647" s="11">
        <f t="shared" si="61"/>
        <v>0.37641723356009071</v>
      </c>
      <c r="V647" s="1" t="str">
        <f t="shared" si="62"/>
        <v>Very Slow</v>
      </c>
      <c r="W647" s="1" t="str">
        <f t="shared" si="63"/>
        <v>OK</v>
      </c>
    </row>
    <row r="648" spans="1:23">
      <c r="A648" s="1">
        <v>57266</v>
      </c>
      <c r="B648" s="10">
        <v>45961</v>
      </c>
      <c r="C648" s="1">
        <v>5</v>
      </c>
      <c r="D648" s="1" t="s">
        <v>63</v>
      </c>
      <c r="E648" s="1" t="s">
        <v>72</v>
      </c>
      <c r="F648" s="1" t="s">
        <v>79</v>
      </c>
      <c r="G648" s="1" t="s">
        <v>85</v>
      </c>
      <c r="H648" s="1" t="s">
        <v>61</v>
      </c>
      <c r="I648" s="1" t="s">
        <v>111</v>
      </c>
      <c r="J648" s="24">
        <v>11.38</v>
      </c>
      <c r="K648" s="24">
        <v>18.649999999999999</v>
      </c>
      <c r="L648" s="28">
        <v>7.2699999999999978</v>
      </c>
      <c r="M648" s="1">
        <v>9</v>
      </c>
      <c r="N648" s="28">
        <v>167.85</v>
      </c>
      <c r="O648" s="29">
        <v>0.01</v>
      </c>
      <c r="P648" s="28">
        <v>1.6785000000000001</v>
      </c>
      <c r="Q648" s="28">
        <v>166.17150000000001</v>
      </c>
      <c r="R648" s="1" t="str">
        <f t="shared" si="60"/>
        <v>Oct</v>
      </c>
      <c r="S648" s="28">
        <f t="shared" si="64"/>
        <v>102.42</v>
      </c>
      <c r="T648" s="28">
        <f t="shared" si="65"/>
        <v>63.751500000000007</v>
      </c>
      <c r="U648" s="11">
        <f t="shared" si="61"/>
        <v>0.3836488206461397</v>
      </c>
      <c r="V648" s="1" t="str">
        <f t="shared" si="62"/>
        <v>Standard</v>
      </c>
      <c r="W648" s="1" t="str">
        <f t="shared" si="63"/>
        <v>OK</v>
      </c>
    </row>
    <row r="649" spans="1:23">
      <c r="A649" s="1">
        <v>57267</v>
      </c>
      <c r="B649" s="10">
        <v>45962</v>
      </c>
      <c r="C649" s="1">
        <v>20</v>
      </c>
      <c r="D649" s="1" t="s">
        <v>78</v>
      </c>
      <c r="E649" s="1" t="s">
        <v>87</v>
      </c>
      <c r="F649" s="1" t="s">
        <v>59</v>
      </c>
      <c r="G649" s="1" t="s">
        <v>60</v>
      </c>
      <c r="H649" s="1" t="s">
        <v>61</v>
      </c>
      <c r="I649" s="1" t="s">
        <v>164</v>
      </c>
      <c r="J649" s="24">
        <v>0.87</v>
      </c>
      <c r="K649" s="24">
        <v>1.81</v>
      </c>
      <c r="L649" s="28">
        <v>0.94000000000000006</v>
      </c>
      <c r="M649" s="1">
        <v>6</v>
      </c>
      <c r="N649" s="28">
        <v>10.86</v>
      </c>
      <c r="O649" s="29">
        <v>7.0000000000000007E-2</v>
      </c>
      <c r="P649" s="28">
        <v>0.76019999999999999</v>
      </c>
      <c r="Q649" s="28">
        <v>10.0998</v>
      </c>
      <c r="R649" s="1" t="str">
        <f t="shared" si="60"/>
        <v>Nov</v>
      </c>
      <c r="S649" s="28">
        <f t="shared" si="64"/>
        <v>5.22</v>
      </c>
      <c r="T649" s="28">
        <f t="shared" si="65"/>
        <v>4.8798000000000004</v>
      </c>
      <c r="U649" s="11">
        <f t="shared" si="61"/>
        <v>0.48315808233826413</v>
      </c>
      <c r="V649" s="1" t="str">
        <f t="shared" si="62"/>
        <v>Very Slow</v>
      </c>
      <c r="W649" s="1" t="str">
        <f t="shared" si="63"/>
        <v>OK</v>
      </c>
    </row>
    <row r="650" spans="1:23">
      <c r="A650" s="1">
        <v>57268</v>
      </c>
      <c r="B650" s="10">
        <v>45962</v>
      </c>
      <c r="C650" s="1">
        <v>7</v>
      </c>
      <c r="D650" s="1" t="s">
        <v>57</v>
      </c>
      <c r="E650" s="1" t="s">
        <v>87</v>
      </c>
      <c r="F650" s="1" t="s">
        <v>64</v>
      </c>
      <c r="G650" s="1" t="s">
        <v>60</v>
      </c>
      <c r="H650" s="1" t="s">
        <v>65</v>
      </c>
      <c r="I650" s="1" t="s">
        <v>91</v>
      </c>
      <c r="J650" s="24">
        <v>0.93</v>
      </c>
      <c r="K650" s="24">
        <v>1.48</v>
      </c>
      <c r="L650" s="28">
        <v>0.54999999999999993</v>
      </c>
      <c r="M650" s="1">
        <v>16</v>
      </c>
      <c r="N650" s="28">
        <v>23.68</v>
      </c>
      <c r="O650" s="29">
        <v>0.03</v>
      </c>
      <c r="P650" s="28">
        <v>0.71039999999999992</v>
      </c>
      <c r="Q650" s="28">
        <v>22.9696</v>
      </c>
      <c r="R650" s="1" t="str">
        <f t="shared" si="60"/>
        <v>Nov</v>
      </c>
      <c r="S650" s="28">
        <f t="shared" si="64"/>
        <v>14.88</v>
      </c>
      <c r="T650" s="28">
        <f t="shared" si="65"/>
        <v>8.089599999999999</v>
      </c>
      <c r="U650" s="11">
        <f t="shared" si="61"/>
        <v>0.35218723878517688</v>
      </c>
      <c r="V650" s="1" t="str">
        <f t="shared" si="62"/>
        <v>Standard</v>
      </c>
      <c r="W650" s="1" t="str">
        <f t="shared" si="63"/>
        <v>OK</v>
      </c>
    </row>
    <row r="651" spans="1:23">
      <c r="A651" s="1">
        <v>57269</v>
      </c>
      <c r="B651" s="10">
        <v>45963</v>
      </c>
      <c r="C651" s="1">
        <v>1</v>
      </c>
      <c r="D651" s="1" t="s">
        <v>57</v>
      </c>
      <c r="E651" s="1" t="s">
        <v>72</v>
      </c>
      <c r="F651" s="1" t="s">
        <v>75</v>
      </c>
      <c r="G651" s="1" t="s">
        <v>60</v>
      </c>
      <c r="H651" s="1" t="s">
        <v>65</v>
      </c>
      <c r="I651" s="1" t="s">
        <v>220</v>
      </c>
      <c r="J651" s="24">
        <v>1.0900000000000001</v>
      </c>
      <c r="K651" s="24">
        <v>1.82</v>
      </c>
      <c r="L651" s="28">
        <v>0.73</v>
      </c>
      <c r="M651" s="1">
        <v>31</v>
      </c>
      <c r="N651" s="28">
        <v>56.42</v>
      </c>
      <c r="O651" s="29">
        <v>0.09</v>
      </c>
      <c r="P651" s="28">
        <v>5.0777999999999999</v>
      </c>
      <c r="Q651" s="28">
        <v>51.342200000000012</v>
      </c>
      <c r="R651" s="1" t="str">
        <f t="shared" si="60"/>
        <v>Nov</v>
      </c>
      <c r="S651" s="28">
        <f t="shared" si="64"/>
        <v>33.79</v>
      </c>
      <c r="T651" s="28">
        <f t="shared" si="65"/>
        <v>17.552200000000013</v>
      </c>
      <c r="U651" s="11">
        <f t="shared" si="61"/>
        <v>0.34186692428450688</v>
      </c>
      <c r="V651" s="1" t="str">
        <f t="shared" si="62"/>
        <v>Fast</v>
      </c>
      <c r="W651" s="1" t="str">
        <f t="shared" si="63"/>
        <v>OK</v>
      </c>
    </row>
    <row r="652" spans="1:23">
      <c r="A652" s="1">
        <v>57270</v>
      </c>
      <c r="B652" s="10">
        <v>45963</v>
      </c>
      <c r="C652" s="1">
        <v>11</v>
      </c>
      <c r="D652" s="1" t="s">
        <v>78</v>
      </c>
      <c r="E652" s="1" t="s">
        <v>72</v>
      </c>
      <c r="F652" s="1" t="s">
        <v>84</v>
      </c>
      <c r="G652" s="1" t="s">
        <v>60</v>
      </c>
      <c r="H652" s="1" t="s">
        <v>70</v>
      </c>
      <c r="I652" s="1" t="s">
        <v>122</v>
      </c>
      <c r="J652" s="24">
        <v>14.95</v>
      </c>
      <c r="K652" s="24">
        <v>34.76</v>
      </c>
      <c r="L652" s="28">
        <v>19.809999999999999</v>
      </c>
      <c r="M652" s="1">
        <v>33</v>
      </c>
      <c r="N652" s="28">
        <v>1147.08</v>
      </c>
      <c r="O652" s="29">
        <v>0.03</v>
      </c>
      <c r="P652" s="28">
        <v>34.412399999999998</v>
      </c>
      <c r="Q652" s="28">
        <v>1112.6676</v>
      </c>
      <c r="R652" s="1" t="str">
        <f t="shared" si="60"/>
        <v>Nov</v>
      </c>
      <c r="S652" s="28">
        <f t="shared" si="64"/>
        <v>493.34999999999997</v>
      </c>
      <c r="T652" s="28">
        <f t="shared" si="65"/>
        <v>619.31760000000008</v>
      </c>
      <c r="U652" s="11">
        <f t="shared" si="61"/>
        <v>0.55660612387742758</v>
      </c>
      <c r="V652" s="1" t="str">
        <f t="shared" si="62"/>
        <v>Slow</v>
      </c>
      <c r="W652" s="1" t="str">
        <f t="shared" si="63"/>
        <v>OK</v>
      </c>
    </row>
    <row r="653" spans="1:23">
      <c r="A653" s="1">
        <v>57271</v>
      </c>
      <c r="B653" s="10">
        <v>45964</v>
      </c>
      <c r="C653" s="1">
        <v>12</v>
      </c>
      <c r="D653" s="1" t="s">
        <v>57</v>
      </c>
      <c r="E653" s="1" t="s">
        <v>67</v>
      </c>
      <c r="F653" s="1" t="s">
        <v>73</v>
      </c>
      <c r="G653" s="1" t="s">
        <v>60</v>
      </c>
      <c r="H653" s="1" t="s">
        <v>70</v>
      </c>
      <c r="I653" s="1" t="s">
        <v>215</v>
      </c>
      <c r="J653" s="24">
        <v>4.03</v>
      </c>
      <c r="K653" s="24">
        <v>9.3800000000000008</v>
      </c>
      <c r="L653" s="28">
        <v>5.3500000000000014</v>
      </c>
      <c r="M653" s="1">
        <v>45</v>
      </c>
      <c r="N653" s="28">
        <v>422.1</v>
      </c>
      <c r="O653" s="29">
        <v>0.09</v>
      </c>
      <c r="P653" s="28">
        <v>37.988999999999997</v>
      </c>
      <c r="Q653" s="28">
        <v>384.11099999999999</v>
      </c>
      <c r="R653" s="1" t="str">
        <f t="shared" si="60"/>
        <v>Nov</v>
      </c>
      <c r="S653" s="28">
        <f t="shared" si="64"/>
        <v>181.35000000000002</v>
      </c>
      <c r="T653" s="28">
        <f t="shared" si="65"/>
        <v>202.76099999999997</v>
      </c>
      <c r="U653" s="11">
        <f t="shared" si="61"/>
        <v>0.52787084983247023</v>
      </c>
      <c r="V653" s="1" t="str">
        <f t="shared" si="62"/>
        <v>Slow</v>
      </c>
      <c r="W653" s="1" t="str">
        <f t="shared" si="63"/>
        <v>OK</v>
      </c>
    </row>
    <row r="654" spans="1:23">
      <c r="A654" s="1">
        <v>57272</v>
      </c>
      <c r="B654" s="10">
        <v>45964</v>
      </c>
      <c r="C654" s="1">
        <v>3</v>
      </c>
      <c r="D654" s="1" t="s">
        <v>57</v>
      </c>
      <c r="E654" s="1" t="s">
        <v>87</v>
      </c>
      <c r="F654" s="1" t="s">
        <v>73</v>
      </c>
      <c r="G654" s="1" t="s">
        <v>60</v>
      </c>
      <c r="H654" s="1" t="s">
        <v>70</v>
      </c>
      <c r="I654" s="1" t="s">
        <v>157</v>
      </c>
      <c r="J654" s="24">
        <v>4.53</v>
      </c>
      <c r="K654" s="24">
        <v>7.3</v>
      </c>
      <c r="L654" s="28">
        <v>2.77</v>
      </c>
      <c r="M654" s="1">
        <v>31</v>
      </c>
      <c r="N654" s="28">
        <v>226.3</v>
      </c>
      <c r="O654" s="29">
        <v>0.03</v>
      </c>
      <c r="P654" s="28">
        <v>6.7889999999999988</v>
      </c>
      <c r="Q654" s="28">
        <v>219.511</v>
      </c>
      <c r="R654" s="1" t="str">
        <f t="shared" si="60"/>
        <v>Nov</v>
      </c>
      <c r="S654" s="28">
        <f t="shared" si="64"/>
        <v>140.43</v>
      </c>
      <c r="T654" s="28">
        <f t="shared" si="65"/>
        <v>79.080999999999989</v>
      </c>
      <c r="U654" s="11">
        <f t="shared" si="61"/>
        <v>0.36025985030362939</v>
      </c>
      <c r="V654" s="1" t="str">
        <f t="shared" si="62"/>
        <v>Fast</v>
      </c>
      <c r="W654" s="1" t="str">
        <f t="shared" si="63"/>
        <v>OK</v>
      </c>
    </row>
    <row r="655" spans="1:23">
      <c r="A655" s="1">
        <v>57273</v>
      </c>
      <c r="B655" s="10">
        <v>45965</v>
      </c>
      <c r="C655" s="1">
        <v>17</v>
      </c>
      <c r="D655" s="1" t="s">
        <v>78</v>
      </c>
      <c r="E655" s="1" t="s">
        <v>72</v>
      </c>
      <c r="F655" s="1" t="s">
        <v>64</v>
      </c>
      <c r="G655" s="1" t="s">
        <v>60</v>
      </c>
      <c r="H655" s="1" t="s">
        <v>90</v>
      </c>
      <c r="I655" s="1" t="s">
        <v>89</v>
      </c>
      <c r="J655" s="24">
        <v>1.76</v>
      </c>
      <c r="K655" s="24">
        <v>2.94</v>
      </c>
      <c r="L655" s="28">
        <v>1.18</v>
      </c>
      <c r="M655" s="1">
        <v>23</v>
      </c>
      <c r="N655" s="28">
        <v>67.62</v>
      </c>
      <c r="O655" s="29">
        <v>0.03</v>
      </c>
      <c r="P655" s="28">
        <v>2.0286</v>
      </c>
      <c r="Q655" s="28">
        <v>65.591400000000007</v>
      </c>
      <c r="R655" s="1" t="str">
        <f t="shared" si="60"/>
        <v>Nov</v>
      </c>
      <c r="S655" s="28">
        <f t="shared" si="64"/>
        <v>40.479999999999997</v>
      </c>
      <c r="T655" s="28">
        <f t="shared" si="65"/>
        <v>25.11140000000001</v>
      </c>
      <c r="U655" s="11">
        <f t="shared" si="61"/>
        <v>0.38284592187390432</v>
      </c>
      <c r="V655" s="1" t="str">
        <f t="shared" si="62"/>
        <v>Very Slow</v>
      </c>
      <c r="W655" s="1" t="str">
        <f t="shared" si="63"/>
        <v>OK</v>
      </c>
    </row>
    <row r="656" spans="1:23">
      <c r="A656" s="1">
        <v>57274</v>
      </c>
      <c r="B656" s="10">
        <v>45965</v>
      </c>
      <c r="C656" s="1">
        <v>18</v>
      </c>
      <c r="D656" s="1" t="s">
        <v>57</v>
      </c>
      <c r="E656" s="1" t="s">
        <v>72</v>
      </c>
      <c r="F656" s="1" t="s">
        <v>79</v>
      </c>
      <c r="G656" s="1" t="s">
        <v>60</v>
      </c>
      <c r="H656" s="1" t="s">
        <v>65</v>
      </c>
      <c r="I656" s="1" t="s">
        <v>91</v>
      </c>
      <c r="J656" s="24">
        <v>0.93</v>
      </c>
      <c r="K656" s="24">
        <v>1.48</v>
      </c>
      <c r="L656" s="28">
        <v>0.54999999999999993</v>
      </c>
      <c r="M656" s="1">
        <v>1</v>
      </c>
      <c r="N656" s="28">
        <v>1.48</v>
      </c>
      <c r="O656" s="29">
        <v>0.01</v>
      </c>
      <c r="P656" s="28">
        <v>1.4800000000000001E-2</v>
      </c>
      <c r="Q656" s="28">
        <v>1.4652000000000001</v>
      </c>
      <c r="R656" s="1" t="str">
        <f t="shared" si="60"/>
        <v>Nov</v>
      </c>
      <c r="S656" s="28">
        <f t="shared" si="64"/>
        <v>0.93</v>
      </c>
      <c r="T656" s="28">
        <f t="shared" si="65"/>
        <v>0.53520000000000001</v>
      </c>
      <c r="U656" s="11">
        <f t="shared" si="61"/>
        <v>0.36527436527436524</v>
      </c>
      <c r="V656" s="1" t="str">
        <f t="shared" si="62"/>
        <v>Very Slow</v>
      </c>
      <c r="W656" s="1" t="str">
        <f t="shared" si="63"/>
        <v>OK</v>
      </c>
    </row>
    <row r="657" spans="1:23">
      <c r="A657" s="1">
        <v>57275</v>
      </c>
      <c r="B657" s="10">
        <v>45966</v>
      </c>
      <c r="C657" s="1">
        <v>15</v>
      </c>
      <c r="D657" s="1" t="s">
        <v>57</v>
      </c>
      <c r="E657" s="1" t="s">
        <v>67</v>
      </c>
      <c r="F657" s="1" t="s">
        <v>18</v>
      </c>
      <c r="G657" s="1" t="s">
        <v>81</v>
      </c>
      <c r="H657" s="1" t="s">
        <v>90</v>
      </c>
      <c r="I657" s="1" t="s">
        <v>174</v>
      </c>
      <c r="J657" s="24">
        <v>219.61</v>
      </c>
      <c r="K657" s="24">
        <v>535.64</v>
      </c>
      <c r="L657" s="28">
        <v>316.02999999999997</v>
      </c>
      <c r="M657" s="1">
        <v>41</v>
      </c>
      <c r="N657" s="28">
        <v>21961.24</v>
      </c>
      <c r="O657" s="29">
        <v>0.03</v>
      </c>
      <c r="P657" s="28">
        <v>658.83719999999994</v>
      </c>
      <c r="Q657" s="28">
        <v>21302.4028</v>
      </c>
      <c r="R657" s="1" t="str">
        <f t="shared" si="60"/>
        <v>Nov</v>
      </c>
      <c r="S657" s="28">
        <f t="shared" si="64"/>
        <v>9004.01</v>
      </c>
      <c r="T657" s="28">
        <f t="shared" si="65"/>
        <v>12298.3928</v>
      </c>
      <c r="U657" s="11">
        <f t="shared" si="61"/>
        <v>0.57732420682609564</v>
      </c>
      <c r="V657" s="1" t="str">
        <f t="shared" si="62"/>
        <v>Very Slow</v>
      </c>
      <c r="W657" s="1" t="str">
        <f t="shared" si="63"/>
        <v>OK</v>
      </c>
    </row>
    <row r="658" spans="1:23">
      <c r="A658" s="1">
        <v>57276</v>
      </c>
      <c r="B658" s="10">
        <v>45966</v>
      </c>
      <c r="C658" s="1">
        <v>7</v>
      </c>
      <c r="D658" s="1" t="s">
        <v>57</v>
      </c>
      <c r="E658" s="1" t="s">
        <v>58</v>
      </c>
      <c r="F658" s="1" t="s">
        <v>73</v>
      </c>
      <c r="G658" s="1" t="s">
        <v>60</v>
      </c>
      <c r="H658" s="1" t="s">
        <v>70</v>
      </c>
      <c r="I658" s="1" t="s">
        <v>93</v>
      </c>
      <c r="J658" s="24">
        <v>3.51</v>
      </c>
      <c r="K658" s="24">
        <v>8.57</v>
      </c>
      <c r="L658" s="28">
        <v>5.0599999999999996</v>
      </c>
      <c r="M658" s="1">
        <v>51</v>
      </c>
      <c r="N658" s="28">
        <v>437.07</v>
      </c>
      <c r="O658" s="29">
        <v>0.01</v>
      </c>
      <c r="P658" s="28">
        <v>4.3707000000000003</v>
      </c>
      <c r="Q658" s="28">
        <v>432.69929999999999</v>
      </c>
      <c r="R658" s="1" t="str">
        <f t="shared" si="60"/>
        <v>Nov</v>
      </c>
      <c r="S658" s="28">
        <f t="shared" si="64"/>
        <v>179.01</v>
      </c>
      <c r="T658" s="28">
        <f t="shared" si="65"/>
        <v>253.6893</v>
      </c>
      <c r="U658" s="11">
        <f t="shared" si="61"/>
        <v>0.58629468547788266</v>
      </c>
      <c r="V658" s="1" t="str">
        <f t="shared" si="62"/>
        <v>Standard</v>
      </c>
      <c r="W658" s="1" t="str">
        <f t="shared" si="63"/>
        <v>OK</v>
      </c>
    </row>
    <row r="659" spans="1:23">
      <c r="A659" s="1">
        <v>57277</v>
      </c>
      <c r="B659" s="10">
        <v>45967</v>
      </c>
      <c r="C659" s="1">
        <v>9</v>
      </c>
      <c r="D659" s="1" t="s">
        <v>78</v>
      </c>
      <c r="E659" s="1" t="s">
        <v>72</v>
      </c>
      <c r="F659" s="1" t="s">
        <v>84</v>
      </c>
      <c r="G659" s="1" t="s">
        <v>60</v>
      </c>
      <c r="H659" s="1" t="s">
        <v>61</v>
      </c>
      <c r="I659" s="1" t="s">
        <v>214</v>
      </c>
      <c r="J659" s="24">
        <v>1.82</v>
      </c>
      <c r="K659" s="24">
        <v>2.98</v>
      </c>
      <c r="L659" s="28">
        <v>1.1599999999999999</v>
      </c>
      <c r="M659" s="1">
        <v>4</v>
      </c>
      <c r="N659" s="28">
        <v>11.92</v>
      </c>
      <c r="O659" s="29">
        <v>0.04</v>
      </c>
      <c r="P659" s="28">
        <v>0.4768</v>
      </c>
      <c r="Q659" s="28">
        <v>11.443199999999999</v>
      </c>
      <c r="R659" s="1" t="str">
        <f t="shared" si="60"/>
        <v>Nov</v>
      </c>
      <c r="S659" s="28">
        <f t="shared" si="64"/>
        <v>7.28</v>
      </c>
      <c r="T659" s="28">
        <f t="shared" si="65"/>
        <v>4.1631999999999989</v>
      </c>
      <c r="U659" s="11">
        <f t="shared" si="61"/>
        <v>0.36381431767337802</v>
      </c>
      <c r="V659" s="1" t="str">
        <f t="shared" si="62"/>
        <v>Slow</v>
      </c>
      <c r="W659" s="1" t="str">
        <f t="shared" si="63"/>
        <v>OK</v>
      </c>
    </row>
    <row r="660" spans="1:23">
      <c r="A660" s="1">
        <v>57278</v>
      </c>
      <c r="B660" s="10">
        <v>45968</v>
      </c>
      <c r="C660" s="1">
        <v>10</v>
      </c>
      <c r="D660" s="1" t="s">
        <v>63</v>
      </c>
      <c r="E660" s="1" t="s">
        <v>58</v>
      </c>
      <c r="F660" s="1" t="s">
        <v>73</v>
      </c>
      <c r="G660" s="1" t="s">
        <v>81</v>
      </c>
      <c r="H660" s="1" t="s">
        <v>70</v>
      </c>
      <c r="I660" s="1" t="s">
        <v>139</v>
      </c>
      <c r="J660" s="24">
        <v>6.39</v>
      </c>
      <c r="K660" s="24">
        <v>19.98</v>
      </c>
      <c r="L660" s="28">
        <v>13.59</v>
      </c>
      <c r="M660" s="1">
        <v>49</v>
      </c>
      <c r="N660" s="28">
        <v>979.02</v>
      </c>
      <c r="O660" s="29">
        <v>0.03</v>
      </c>
      <c r="P660" s="28">
        <v>29.3706</v>
      </c>
      <c r="Q660" s="28">
        <v>949.64940000000001</v>
      </c>
      <c r="R660" s="1" t="str">
        <f t="shared" si="60"/>
        <v>Nov</v>
      </c>
      <c r="S660" s="28">
        <f t="shared" si="64"/>
        <v>313.10999999999996</v>
      </c>
      <c r="T660" s="28">
        <f t="shared" si="65"/>
        <v>636.53940000000011</v>
      </c>
      <c r="U660" s="11">
        <f t="shared" si="61"/>
        <v>0.67028884554657764</v>
      </c>
      <c r="V660" s="1" t="str">
        <f t="shared" si="62"/>
        <v>Slow</v>
      </c>
      <c r="W660" s="1" t="str">
        <f t="shared" si="63"/>
        <v>OK</v>
      </c>
    </row>
    <row r="661" spans="1:23">
      <c r="A661" s="1">
        <v>57279</v>
      </c>
      <c r="B661" s="10">
        <v>45968</v>
      </c>
      <c r="C661" s="1">
        <v>15</v>
      </c>
      <c r="D661" s="1" t="s">
        <v>57</v>
      </c>
      <c r="E661" s="1" t="s">
        <v>72</v>
      </c>
      <c r="F661" s="1" t="s">
        <v>96</v>
      </c>
      <c r="G661" s="1" t="s">
        <v>60</v>
      </c>
      <c r="H661" s="1" t="s">
        <v>65</v>
      </c>
      <c r="I661" s="1" t="s">
        <v>187</v>
      </c>
      <c r="J661" s="24">
        <v>2.2599999999999998</v>
      </c>
      <c r="K661" s="24">
        <v>3.58</v>
      </c>
      <c r="L661" s="28">
        <v>1.32</v>
      </c>
      <c r="M661" s="1">
        <v>18</v>
      </c>
      <c r="N661" s="28">
        <v>64.44</v>
      </c>
      <c r="O661" s="29">
        <v>0</v>
      </c>
      <c r="P661" s="28">
        <v>0</v>
      </c>
      <c r="Q661" s="28">
        <v>64.44</v>
      </c>
      <c r="R661" s="1" t="str">
        <f t="shared" si="60"/>
        <v>Nov</v>
      </c>
      <c r="S661" s="28">
        <f t="shared" si="64"/>
        <v>40.679999999999993</v>
      </c>
      <c r="T661" s="28">
        <f t="shared" si="65"/>
        <v>23.760000000000005</v>
      </c>
      <c r="U661" s="11">
        <f t="shared" si="61"/>
        <v>0.36871508379888279</v>
      </c>
      <c r="V661" s="1" t="str">
        <f t="shared" si="62"/>
        <v>Very Slow</v>
      </c>
      <c r="W661" s="1" t="str">
        <f t="shared" si="63"/>
        <v>OK</v>
      </c>
    </row>
    <row r="662" spans="1:23">
      <c r="A662" s="1">
        <v>57280</v>
      </c>
      <c r="B662" s="10">
        <v>45969</v>
      </c>
      <c r="C662" s="1">
        <v>16</v>
      </c>
      <c r="D662" s="1" t="s">
        <v>78</v>
      </c>
      <c r="E662" s="1" t="s">
        <v>58</v>
      </c>
      <c r="F662" s="1" t="s">
        <v>88</v>
      </c>
      <c r="G662" s="1" t="s">
        <v>60</v>
      </c>
      <c r="H662" s="1" t="s">
        <v>68</v>
      </c>
      <c r="I662" s="1" t="s">
        <v>134</v>
      </c>
      <c r="J662" s="24">
        <v>5.33</v>
      </c>
      <c r="K662" s="24">
        <v>8.6</v>
      </c>
      <c r="L662" s="28">
        <v>3.27</v>
      </c>
      <c r="M662" s="1">
        <v>2</v>
      </c>
      <c r="N662" s="28">
        <v>17.2</v>
      </c>
      <c r="O662" s="29">
        <v>0.03</v>
      </c>
      <c r="P662" s="28">
        <v>0.51600000000000001</v>
      </c>
      <c r="Q662" s="28">
        <v>16.684000000000001</v>
      </c>
      <c r="R662" s="1" t="str">
        <f t="shared" si="60"/>
        <v>Nov</v>
      </c>
      <c r="S662" s="28">
        <f t="shared" si="64"/>
        <v>10.66</v>
      </c>
      <c r="T662" s="28">
        <f t="shared" si="65"/>
        <v>6.0240000000000009</v>
      </c>
      <c r="U662" s="11">
        <f t="shared" si="61"/>
        <v>0.3610644929273556</v>
      </c>
      <c r="V662" s="1" t="str">
        <f t="shared" si="62"/>
        <v>Very Slow</v>
      </c>
      <c r="W662" s="1" t="str">
        <f t="shared" si="63"/>
        <v>OK</v>
      </c>
    </row>
    <row r="663" spans="1:23">
      <c r="A663" s="1">
        <v>57281</v>
      </c>
      <c r="B663" s="10">
        <v>45969</v>
      </c>
      <c r="C663" s="1">
        <v>14</v>
      </c>
      <c r="D663" s="1" t="s">
        <v>57</v>
      </c>
      <c r="E663" s="1" t="s">
        <v>72</v>
      </c>
      <c r="F663" s="1" t="s">
        <v>88</v>
      </c>
      <c r="G663" s="1" t="s">
        <v>60</v>
      </c>
      <c r="H663" s="1" t="s">
        <v>68</v>
      </c>
      <c r="I663" s="1" t="s">
        <v>102</v>
      </c>
      <c r="J663" s="24">
        <v>67.73</v>
      </c>
      <c r="K663" s="24">
        <v>165.2</v>
      </c>
      <c r="L663" s="28">
        <v>97.469999999999985</v>
      </c>
      <c r="M663" s="1">
        <v>12</v>
      </c>
      <c r="N663" s="28">
        <v>1982.4</v>
      </c>
      <c r="O663" s="29">
        <v>0.08</v>
      </c>
      <c r="P663" s="28">
        <v>158.59200000000001</v>
      </c>
      <c r="Q663" s="28">
        <v>1823.808</v>
      </c>
      <c r="R663" s="1" t="str">
        <f t="shared" si="60"/>
        <v>Nov</v>
      </c>
      <c r="S663" s="28">
        <f t="shared" si="64"/>
        <v>812.76</v>
      </c>
      <c r="T663" s="28">
        <f t="shared" si="65"/>
        <v>1011.048</v>
      </c>
      <c r="U663" s="11">
        <f t="shared" si="61"/>
        <v>0.55436098536688072</v>
      </c>
      <c r="V663" s="1" t="str">
        <f t="shared" si="62"/>
        <v>Slow</v>
      </c>
      <c r="W663" s="1" t="str">
        <f t="shared" si="63"/>
        <v>OK</v>
      </c>
    </row>
    <row r="664" spans="1:23">
      <c r="A664" s="1">
        <v>57282</v>
      </c>
      <c r="B664" s="10">
        <v>45969</v>
      </c>
      <c r="C664" s="1">
        <v>4</v>
      </c>
      <c r="D664" s="1" t="s">
        <v>78</v>
      </c>
      <c r="E664" s="1" t="s">
        <v>72</v>
      </c>
      <c r="F664" s="1" t="s">
        <v>79</v>
      </c>
      <c r="G664" s="1" t="s">
        <v>60</v>
      </c>
      <c r="H664" s="1" t="s">
        <v>70</v>
      </c>
      <c r="I664" s="1" t="s">
        <v>146</v>
      </c>
      <c r="J664" s="24">
        <v>3.14</v>
      </c>
      <c r="K664" s="24">
        <v>4.91</v>
      </c>
      <c r="L664" s="28">
        <v>1.77</v>
      </c>
      <c r="M664" s="1">
        <v>13</v>
      </c>
      <c r="N664" s="28">
        <v>63.83</v>
      </c>
      <c r="O664" s="29">
        <v>0.01</v>
      </c>
      <c r="P664" s="28">
        <v>0.63829999999999998</v>
      </c>
      <c r="Q664" s="28">
        <v>63.191699999999997</v>
      </c>
      <c r="R664" s="1" t="str">
        <f t="shared" si="60"/>
        <v>Nov</v>
      </c>
      <c r="S664" s="28">
        <f t="shared" si="64"/>
        <v>40.82</v>
      </c>
      <c r="T664" s="28">
        <f t="shared" si="65"/>
        <v>22.371699999999997</v>
      </c>
      <c r="U664" s="11">
        <f t="shared" si="61"/>
        <v>0.35402908926330512</v>
      </c>
      <c r="V664" s="1" t="str">
        <f t="shared" si="62"/>
        <v>Standard</v>
      </c>
      <c r="W664" s="1" t="str">
        <f t="shared" si="63"/>
        <v>OK</v>
      </c>
    </row>
    <row r="665" spans="1:23">
      <c r="A665" s="1">
        <v>57283</v>
      </c>
      <c r="B665" s="10">
        <v>45971</v>
      </c>
      <c r="C665" s="1">
        <v>8</v>
      </c>
      <c r="D665" s="1" t="s">
        <v>63</v>
      </c>
      <c r="E665" s="1" t="s">
        <v>58</v>
      </c>
      <c r="F665" s="1" t="s">
        <v>59</v>
      </c>
      <c r="G665" s="1" t="s">
        <v>60</v>
      </c>
      <c r="H665" s="1" t="s">
        <v>70</v>
      </c>
      <c r="I665" s="1" t="s">
        <v>175</v>
      </c>
      <c r="J665" s="24">
        <v>4.79</v>
      </c>
      <c r="K665" s="24">
        <v>11.97</v>
      </c>
      <c r="L665" s="28">
        <v>7.1800000000000006</v>
      </c>
      <c r="M665" s="1">
        <v>44</v>
      </c>
      <c r="N665" s="28">
        <v>526.68000000000006</v>
      </c>
      <c r="O665" s="29">
        <v>0.02</v>
      </c>
      <c r="P665" s="28">
        <v>10.5336</v>
      </c>
      <c r="Q665" s="28">
        <v>516.14640000000009</v>
      </c>
      <c r="R665" s="1" t="str">
        <f t="shared" si="60"/>
        <v>Nov</v>
      </c>
      <c r="S665" s="28">
        <f t="shared" si="64"/>
        <v>210.76</v>
      </c>
      <c r="T665" s="28">
        <f t="shared" si="65"/>
        <v>305.38640000000009</v>
      </c>
      <c r="U665" s="11">
        <f t="shared" si="61"/>
        <v>0.59166624043100957</v>
      </c>
      <c r="V665" s="1" t="str">
        <f t="shared" si="62"/>
        <v>Slow</v>
      </c>
      <c r="W665" s="1" t="str">
        <f t="shared" si="63"/>
        <v>OK</v>
      </c>
    </row>
    <row r="666" spans="1:23">
      <c r="A666" s="1">
        <v>57284</v>
      </c>
      <c r="B666" s="10">
        <v>45971</v>
      </c>
      <c r="C666" s="1">
        <v>11</v>
      </c>
      <c r="D666" s="1" t="s">
        <v>57</v>
      </c>
      <c r="E666" s="1" t="s">
        <v>72</v>
      </c>
      <c r="F666" s="1" t="s">
        <v>96</v>
      </c>
      <c r="G666" s="1" t="s">
        <v>60</v>
      </c>
      <c r="H666" s="1" t="s">
        <v>70</v>
      </c>
      <c r="I666" s="1" t="s">
        <v>181</v>
      </c>
      <c r="J666" s="24">
        <v>3.48</v>
      </c>
      <c r="K666" s="24">
        <v>5.43</v>
      </c>
      <c r="L666" s="28">
        <v>1.95</v>
      </c>
      <c r="M666" s="1">
        <v>14</v>
      </c>
      <c r="N666" s="28">
        <v>76.02</v>
      </c>
      <c r="O666" s="29">
        <v>0.01</v>
      </c>
      <c r="P666" s="28">
        <v>0.76019999999999999</v>
      </c>
      <c r="Q666" s="28">
        <v>75.259799999999998</v>
      </c>
      <c r="R666" s="1" t="str">
        <f t="shared" si="60"/>
        <v>Nov</v>
      </c>
      <c r="S666" s="28">
        <f t="shared" si="64"/>
        <v>48.72</v>
      </c>
      <c r="T666" s="28">
        <f t="shared" si="65"/>
        <v>26.5398</v>
      </c>
      <c r="U666" s="11">
        <f t="shared" si="61"/>
        <v>0.35264244656509852</v>
      </c>
      <c r="V666" s="1" t="str">
        <f t="shared" si="62"/>
        <v>Slow</v>
      </c>
      <c r="W666" s="1" t="str">
        <f t="shared" si="63"/>
        <v>OK</v>
      </c>
    </row>
    <row r="667" spans="1:23">
      <c r="A667" s="1">
        <v>57285</v>
      </c>
      <c r="B667" s="10">
        <v>45972</v>
      </c>
      <c r="C667" s="1">
        <v>8</v>
      </c>
      <c r="D667" s="1" t="s">
        <v>57</v>
      </c>
      <c r="E667" s="1" t="s">
        <v>58</v>
      </c>
      <c r="F667" s="1" t="s">
        <v>84</v>
      </c>
      <c r="G667" s="1" t="s">
        <v>60</v>
      </c>
      <c r="H667" s="1" t="s">
        <v>68</v>
      </c>
      <c r="I667" s="1" t="s">
        <v>94</v>
      </c>
      <c r="J667" s="24">
        <v>2.4500000000000002</v>
      </c>
      <c r="K667" s="24">
        <v>3.89</v>
      </c>
      <c r="L667" s="28">
        <v>1.44</v>
      </c>
      <c r="M667" s="1">
        <v>56</v>
      </c>
      <c r="N667" s="28">
        <v>217.84</v>
      </c>
      <c r="O667" s="29">
        <v>0.08</v>
      </c>
      <c r="P667" s="28">
        <v>17.427199999999999</v>
      </c>
      <c r="Q667" s="28">
        <v>200.4128</v>
      </c>
      <c r="R667" s="1" t="str">
        <f t="shared" si="60"/>
        <v>Nov</v>
      </c>
      <c r="S667" s="28">
        <f t="shared" si="64"/>
        <v>137.20000000000002</v>
      </c>
      <c r="T667" s="28">
        <f t="shared" si="65"/>
        <v>63.212799999999987</v>
      </c>
      <c r="U667" s="11">
        <f t="shared" si="61"/>
        <v>0.3154129875936067</v>
      </c>
      <c r="V667" s="1" t="str">
        <f t="shared" si="62"/>
        <v>Slow</v>
      </c>
      <c r="W667" s="1" t="str">
        <f t="shared" si="63"/>
        <v>OK</v>
      </c>
    </row>
    <row r="668" spans="1:23">
      <c r="A668" s="1">
        <v>57286</v>
      </c>
      <c r="B668" s="10">
        <v>45972</v>
      </c>
      <c r="C668" s="1">
        <v>16</v>
      </c>
      <c r="D668" s="1" t="s">
        <v>57</v>
      </c>
      <c r="E668" s="1" t="s">
        <v>58</v>
      </c>
      <c r="F668" s="1" t="s">
        <v>59</v>
      </c>
      <c r="G668" s="1" t="s">
        <v>81</v>
      </c>
      <c r="H668" s="1" t="s">
        <v>68</v>
      </c>
      <c r="I668" s="1" t="s">
        <v>144</v>
      </c>
      <c r="J668" s="24">
        <v>19.78</v>
      </c>
      <c r="K668" s="24">
        <v>45.99</v>
      </c>
      <c r="L668" s="28">
        <v>26.21</v>
      </c>
      <c r="M668" s="1">
        <v>21</v>
      </c>
      <c r="N668" s="28">
        <v>965.79000000000008</v>
      </c>
      <c r="O668" s="29">
        <v>0.1</v>
      </c>
      <c r="P668" s="28">
        <v>96.579000000000008</v>
      </c>
      <c r="Q668" s="28">
        <v>869.21100000000001</v>
      </c>
      <c r="R668" s="1" t="str">
        <f t="shared" si="60"/>
        <v>Nov</v>
      </c>
      <c r="S668" s="28">
        <f t="shared" si="64"/>
        <v>415.38</v>
      </c>
      <c r="T668" s="28">
        <f t="shared" si="65"/>
        <v>453.83100000000002</v>
      </c>
      <c r="U668" s="11">
        <f t="shared" si="61"/>
        <v>0.52211833490372306</v>
      </c>
      <c r="V668" s="1" t="str">
        <f t="shared" si="62"/>
        <v>Very Slow</v>
      </c>
      <c r="W668" s="1" t="str">
        <f t="shared" si="63"/>
        <v>OK</v>
      </c>
    </row>
    <row r="669" spans="1:23">
      <c r="A669" s="1">
        <v>57287</v>
      </c>
      <c r="B669" s="10">
        <v>45972</v>
      </c>
      <c r="C669" s="1">
        <v>17</v>
      </c>
      <c r="D669" s="1" t="s">
        <v>57</v>
      </c>
      <c r="E669" s="1" t="s">
        <v>67</v>
      </c>
      <c r="F669" s="1" t="s">
        <v>59</v>
      </c>
      <c r="G669" s="1" t="s">
        <v>60</v>
      </c>
      <c r="H669" s="1" t="s">
        <v>68</v>
      </c>
      <c r="I669" s="1" t="s">
        <v>91</v>
      </c>
      <c r="J669" s="24">
        <v>0.93</v>
      </c>
      <c r="K669" s="24">
        <v>1.48</v>
      </c>
      <c r="L669" s="28">
        <v>0.54999999999999993</v>
      </c>
      <c r="M669" s="1">
        <v>31</v>
      </c>
      <c r="N669" s="28">
        <v>45.88</v>
      </c>
      <c r="O669" s="29">
        <v>0.06</v>
      </c>
      <c r="P669" s="28">
        <v>2.7528000000000001</v>
      </c>
      <c r="Q669" s="28">
        <v>43.127200000000002</v>
      </c>
      <c r="R669" s="1" t="str">
        <f t="shared" si="60"/>
        <v>Nov</v>
      </c>
      <c r="S669" s="28">
        <f t="shared" si="64"/>
        <v>28.830000000000002</v>
      </c>
      <c r="T669" s="28">
        <f t="shared" si="65"/>
        <v>14.2972</v>
      </c>
      <c r="U669" s="11">
        <f t="shared" si="61"/>
        <v>0.33151236342725704</v>
      </c>
      <c r="V669" s="1" t="str">
        <f t="shared" si="62"/>
        <v>Very Slow</v>
      </c>
      <c r="W669" s="1" t="str">
        <f t="shared" si="63"/>
        <v>OK</v>
      </c>
    </row>
    <row r="670" spans="1:23">
      <c r="A670" s="1">
        <v>57288</v>
      </c>
      <c r="B670" s="10">
        <v>45973</v>
      </c>
      <c r="C670" s="1">
        <v>17</v>
      </c>
      <c r="D670" s="1" t="s">
        <v>63</v>
      </c>
      <c r="E670" s="1" t="s">
        <v>87</v>
      </c>
      <c r="F670" s="1" t="s">
        <v>59</v>
      </c>
      <c r="G670" s="1" t="s">
        <v>60</v>
      </c>
      <c r="H670" s="1" t="s">
        <v>68</v>
      </c>
      <c r="I670" s="1" t="s">
        <v>198</v>
      </c>
      <c r="J670" s="24">
        <v>2.52</v>
      </c>
      <c r="K670" s="24">
        <v>4</v>
      </c>
      <c r="L670" s="28">
        <v>1.48</v>
      </c>
      <c r="M670" s="1">
        <v>25</v>
      </c>
      <c r="N670" s="28">
        <v>100</v>
      </c>
      <c r="O670" s="29">
        <v>0.09</v>
      </c>
      <c r="P670" s="28">
        <v>9</v>
      </c>
      <c r="Q670" s="28">
        <v>91</v>
      </c>
      <c r="R670" s="1" t="str">
        <f t="shared" si="60"/>
        <v>Nov</v>
      </c>
      <c r="S670" s="28">
        <f t="shared" si="64"/>
        <v>63</v>
      </c>
      <c r="T670" s="28">
        <f t="shared" si="65"/>
        <v>28</v>
      </c>
      <c r="U670" s="11">
        <f t="shared" si="61"/>
        <v>0.30769230769230771</v>
      </c>
      <c r="V670" s="1" t="str">
        <f t="shared" si="62"/>
        <v>Very Slow</v>
      </c>
      <c r="W670" s="1" t="str">
        <f t="shared" si="63"/>
        <v>OK</v>
      </c>
    </row>
    <row r="671" spans="1:23">
      <c r="A671" s="1">
        <v>57289</v>
      </c>
      <c r="B671" s="10">
        <v>45974</v>
      </c>
      <c r="C671" s="1">
        <v>1</v>
      </c>
      <c r="D671" s="1" t="s">
        <v>78</v>
      </c>
      <c r="E671" s="1" t="s">
        <v>87</v>
      </c>
      <c r="F671" s="1" t="s">
        <v>18</v>
      </c>
      <c r="G671" s="1" t="s">
        <v>60</v>
      </c>
      <c r="H671" s="1" t="s">
        <v>68</v>
      </c>
      <c r="I671" s="1" t="s">
        <v>168</v>
      </c>
      <c r="J671" s="24">
        <v>3.4</v>
      </c>
      <c r="K671" s="24">
        <v>5.4</v>
      </c>
      <c r="L671" s="28">
        <v>2</v>
      </c>
      <c r="M671" s="1">
        <v>40</v>
      </c>
      <c r="N671" s="28">
        <v>216</v>
      </c>
      <c r="O671" s="29">
        <v>0.03</v>
      </c>
      <c r="P671" s="28">
        <v>6.48</v>
      </c>
      <c r="Q671" s="28">
        <v>209.52</v>
      </c>
      <c r="R671" s="1" t="str">
        <f t="shared" si="60"/>
        <v>Nov</v>
      </c>
      <c r="S671" s="28">
        <f t="shared" si="64"/>
        <v>136</v>
      </c>
      <c r="T671" s="28">
        <f t="shared" si="65"/>
        <v>73.52000000000001</v>
      </c>
      <c r="U671" s="11">
        <f t="shared" si="61"/>
        <v>0.35089728904161899</v>
      </c>
      <c r="V671" s="1" t="str">
        <f t="shared" si="62"/>
        <v>Fast</v>
      </c>
      <c r="W671" s="1" t="str">
        <f t="shared" si="63"/>
        <v>OK</v>
      </c>
    </row>
    <row r="672" spans="1:23">
      <c r="A672" s="1">
        <v>57290</v>
      </c>
      <c r="B672" s="10">
        <v>45974</v>
      </c>
      <c r="C672" s="1">
        <v>21</v>
      </c>
      <c r="D672" s="1" t="s">
        <v>63</v>
      </c>
      <c r="E672" s="1" t="s">
        <v>87</v>
      </c>
      <c r="F672" s="1" t="s">
        <v>59</v>
      </c>
      <c r="G672" s="1" t="s">
        <v>60</v>
      </c>
      <c r="H672" s="1" t="s">
        <v>90</v>
      </c>
      <c r="I672" s="1" t="s">
        <v>117</v>
      </c>
      <c r="J672" s="24">
        <v>4.37</v>
      </c>
      <c r="K672" s="24">
        <v>9.11</v>
      </c>
      <c r="L672" s="28">
        <v>4.7399999999999993</v>
      </c>
      <c r="M672" s="1">
        <v>45</v>
      </c>
      <c r="N672" s="28">
        <v>409.95</v>
      </c>
      <c r="O672" s="29">
        <v>0.06</v>
      </c>
      <c r="P672" s="28">
        <v>24.597000000000001</v>
      </c>
      <c r="Q672" s="28">
        <v>385.35300000000001</v>
      </c>
      <c r="R672" s="1" t="str">
        <f t="shared" si="60"/>
        <v>Nov</v>
      </c>
      <c r="S672" s="28">
        <f t="shared" si="64"/>
        <v>196.65</v>
      </c>
      <c r="T672" s="28">
        <f t="shared" si="65"/>
        <v>188.703</v>
      </c>
      <c r="U672" s="11">
        <f t="shared" si="61"/>
        <v>0.4896886750589719</v>
      </c>
      <c r="V672" s="1" t="str">
        <f t="shared" si="62"/>
        <v>Very Slow</v>
      </c>
      <c r="W672" s="1" t="str">
        <f t="shared" si="63"/>
        <v>OK</v>
      </c>
    </row>
    <row r="673" spans="1:23">
      <c r="A673" s="1">
        <v>57291</v>
      </c>
      <c r="B673" s="10">
        <v>45975</v>
      </c>
      <c r="C673" s="1">
        <v>23</v>
      </c>
      <c r="D673" s="1" t="s">
        <v>57</v>
      </c>
      <c r="E673" s="1" t="s">
        <v>72</v>
      </c>
      <c r="F673" s="1" t="s">
        <v>59</v>
      </c>
      <c r="G673" s="1" t="s">
        <v>60</v>
      </c>
      <c r="H673" s="1" t="s">
        <v>61</v>
      </c>
      <c r="I673" s="1" t="s">
        <v>159</v>
      </c>
      <c r="J673" s="24">
        <v>13.64</v>
      </c>
      <c r="K673" s="24">
        <v>20.98</v>
      </c>
      <c r="L673" s="28">
        <v>7.34</v>
      </c>
      <c r="M673" s="1">
        <v>11</v>
      </c>
      <c r="N673" s="28">
        <v>230.78</v>
      </c>
      <c r="O673" s="29">
        <v>0.06</v>
      </c>
      <c r="P673" s="28">
        <v>13.8468</v>
      </c>
      <c r="Q673" s="28">
        <v>216.9332</v>
      </c>
      <c r="R673" s="1" t="str">
        <f t="shared" si="60"/>
        <v>Nov</v>
      </c>
      <c r="S673" s="28">
        <f t="shared" si="64"/>
        <v>150.04000000000002</v>
      </c>
      <c r="T673" s="28">
        <f t="shared" si="65"/>
        <v>66.893199999999979</v>
      </c>
      <c r="U673" s="11">
        <f t="shared" si="61"/>
        <v>0.30835851773725725</v>
      </c>
      <c r="V673" s="1" t="str">
        <f t="shared" si="62"/>
        <v>Very Slow</v>
      </c>
      <c r="W673" s="1" t="str">
        <f t="shared" si="63"/>
        <v>OK</v>
      </c>
    </row>
    <row r="674" spans="1:23">
      <c r="A674" s="1">
        <v>57292</v>
      </c>
      <c r="B674" s="10">
        <v>45975</v>
      </c>
      <c r="C674" s="1">
        <v>2</v>
      </c>
      <c r="D674" s="1" t="s">
        <v>57</v>
      </c>
      <c r="E674" s="1" t="s">
        <v>72</v>
      </c>
      <c r="F674" s="1" t="s">
        <v>59</v>
      </c>
      <c r="G674" s="1" t="s">
        <v>60</v>
      </c>
      <c r="H674" s="1" t="s">
        <v>65</v>
      </c>
      <c r="I674" s="1" t="s">
        <v>141</v>
      </c>
      <c r="J674" s="24">
        <v>2.1800000000000002</v>
      </c>
      <c r="K674" s="24">
        <v>3.52</v>
      </c>
      <c r="L674" s="28">
        <v>1.34</v>
      </c>
      <c r="M674" s="1">
        <v>16</v>
      </c>
      <c r="N674" s="28">
        <v>56.32</v>
      </c>
      <c r="O674" s="29">
        <v>0.08</v>
      </c>
      <c r="P674" s="28">
        <v>4.5056000000000003</v>
      </c>
      <c r="Q674" s="28">
        <v>51.814399999999999</v>
      </c>
      <c r="R674" s="1" t="str">
        <f t="shared" si="60"/>
        <v>Nov</v>
      </c>
      <c r="S674" s="28">
        <f t="shared" si="64"/>
        <v>34.880000000000003</v>
      </c>
      <c r="T674" s="28">
        <f t="shared" si="65"/>
        <v>16.934399999999997</v>
      </c>
      <c r="U674" s="11">
        <f t="shared" si="61"/>
        <v>0.32682806324110664</v>
      </c>
      <c r="V674" s="1" t="str">
        <f t="shared" si="62"/>
        <v>Fast</v>
      </c>
      <c r="W674" s="1" t="str">
        <f t="shared" si="63"/>
        <v>OK</v>
      </c>
    </row>
    <row r="675" spans="1:23">
      <c r="A675" s="1">
        <v>57293</v>
      </c>
      <c r="B675" s="10">
        <v>45976</v>
      </c>
      <c r="C675" s="1">
        <v>21</v>
      </c>
      <c r="D675" s="1" t="s">
        <v>57</v>
      </c>
      <c r="E675" s="1" t="s">
        <v>72</v>
      </c>
      <c r="F675" s="1" t="s">
        <v>73</v>
      </c>
      <c r="G675" s="1" t="s">
        <v>60</v>
      </c>
      <c r="H675" s="1" t="s">
        <v>65</v>
      </c>
      <c r="I675" s="1" t="s">
        <v>80</v>
      </c>
      <c r="J675" s="24">
        <v>4.46</v>
      </c>
      <c r="K675" s="24">
        <v>10.89</v>
      </c>
      <c r="L675" s="28">
        <v>6.4300000000000006</v>
      </c>
      <c r="M675" s="1">
        <v>23</v>
      </c>
      <c r="N675" s="28">
        <v>250.47</v>
      </c>
      <c r="O675" s="29">
        <v>7.0000000000000007E-2</v>
      </c>
      <c r="P675" s="28">
        <v>17.532900000000009</v>
      </c>
      <c r="Q675" s="28">
        <v>232.93709999999999</v>
      </c>
      <c r="R675" s="1" t="str">
        <f t="shared" si="60"/>
        <v>Nov</v>
      </c>
      <c r="S675" s="28">
        <f t="shared" si="64"/>
        <v>102.58</v>
      </c>
      <c r="T675" s="28">
        <f t="shared" si="65"/>
        <v>130.3571</v>
      </c>
      <c r="U675" s="11">
        <f t="shared" si="61"/>
        <v>0.55962360654442767</v>
      </c>
      <c r="V675" s="1" t="str">
        <f t="shared" si="62"/>
        <v>Very Slow</v>
      </c>
      <c r="W675" s="1" t="str">
        <f t="shared" si="63"/>
        <v>OK</v>
      </c>
    </row>
    <row r="676" spans="1:23">
      <c r="A676" s="1">
        <v>57294</v>
      </c>
      <c r="B676" s="10">
        <v>45976</v>
      </c>
      <c r="C676" s="1">
        <v>5</v>
      </c>
      <c r="D676" s="1" t="s">
        <v>57</v>
      </c>
      <c r="E676" s="1" t="s">
        <v>72</v>
      </c>
      <c r="F676" s="1" t="s">
        <v>73</v>
      </c>
      <c r="G676" s="1" t="s">
        <v>60</v>
      </c>
      <c r="H676" s="1" t="s">
        <v>90</v>
      </c>
      <c r="I676" s="1" t="s">
        <v>168</v>
      </c>
      <c r="J676" s="24">
        <v>3.4</v>
      </c>
      <c r="K676" s="24">
        <v>5.4</v>
      </c>
      <c r="L676" s="28">
        <v>2</v>
      </c>
      <c r="M676" s="1">
        <v>10</v>
      </c>
      <c r="N676" s="28">
        <v>54</v>
      </c>
      <c r="O676" s="29">
        <v>0.04</v>
      </c>
      <c r="P676" s="28">
        <v>2.16</v>
      </c>
      <c r="Q676" s="28">
        <v>51.84</v>
      </c>
      <c r="R676" s="1" t="str">
        <f t="shared" si="60"/>
        <v>Nov</v>
      </c>
      <c r="S676" s="28">
        <f t="shared" si="64"/>
        <v>34</v>
      </c>
      <c r="T676" s="28">
        <f t="shared" si="65"/>
        <v>17.840000000000003</v>
      </c>
      <c r="U676" s="11">
        <f t="shared" si="61"/>
        <v>0.34413580246913583</v>
      </c>
      <c r="V676" s="1" t="str">
        <f t="shared" si="62"/>
        <v>Standard</v>
      </c>
      <c r="W676" s="1" t="str">
        <f t="shared" si="63"/>
        <v>OK</v>
      </c>
    </row>
    <row r="677" spans="1:23">
      <c r="A677" s="1">
        <v>57295</v>
      </c>
      <c r="B677" s="10">
        <v>45977</v>
      </c>
      <c r="C677" s="1">
        <v>14</v>
      </c>
      <c r="D677" s="1" t="s">
        <v>78</v>
      </c>
      <c r="E677" s="1" t="s">
        <v>72</v>
      </c>
      <c r="F677" s="1" t="s">
        <v>73</v>
      </c>
      <c r="G677" s="1" t="s">
        <v>60</v>
      </c>
      <c r="H677" s="1" t="s">
        <v>68</v>
      </c>
      <c r="I677" s="1" t="s">
        <v>107</v>
      </c>
      <c r="J677" s="24">
        <v>13.88</v>
      </c>
      <c r="K677" s="24">
        <v>22.38</v>
      </c>
      <c r="L677" s="28">
        <v>8.4999999999999982</v>
      </c>
      <c r="M677" s="1">
        <v>30</v>
      </c>
      <c r="N677" s="28">
        <v>671.4</v>
      </c>
      <c r="O677" s="29">
        <v>7.0000000000000007E-2</v>
      </c>
      <c r="P677" s="28">
        <v>46.997999999999998</v>
      </c>
      <c r="Q677" s="28">
        <v>624.40199999999993</v>
      </c>
      <c r="R677" s="1" t="str">
        <f t="shared" si="60"/>
        <v>Nov</v>
      </c>
      <c r="S677" s="28">
        <f t="shared" si="64"/>
        <v>416.40000000000003</v>
      </c>
      <c r="T677" s="28">
        <f t="shared" si="65"/>
        <v>208.0019999999999</v>
      </c>
      <c r="U677" s="11">
        <f t="shared" si="61"/>
        <v>0.33312193106364157</v>
      </c>
      <c r="V677" s="1" t="str">
        <f t="shared" si="62"/>
        <v>Slow</v>
      </c>
      <c r="W677" s="1" t="str">
        <f t="shared" si="63"/>
        <v>OK</v>
      </c>
    </row>
    <row r="678" spans="1:23">
      <c r="A678" s="1">
        <v>57296</v>
      </c>
      <c r="B678" s="10">
        <v>45977</v>
      </c>
      <c r="C678" s="1">
        <v>17</v>
      </c>
      <c r="D678" s="1" t="s">
        <v>57</v>
      </c>
      <c r="E678" s="1" t="s">
        <v>67</v>
      </c>
      <c r="F678" s="1" t="s">
        <v>73</v>
      </c>
      <c r="G678" s="1" t="s">
        <v>81</v>
      </c>
      <c r="H678" s="1" t="s">
        <v>68</v>
      </c>
      <c r="I678" s="1" t="s">
        <v>160</v>
      </c>
      <c r="J678" s="24">
        <v>14.7</v>
      </c>
      <c r="K678" s="24">
        <v>29.99</v>
      </c>
      <c r="L678" s="28">
        <v>15.29</v>
      </c>
      <c r="M678" s="1">
        <v>39</v>
      </c>
      <c r="N678" s="28">
        <v>1169.6099999999999</v>
      </c>
      <c r="O678" s="29">
        <v>0.03</v>
      </c>
      <c r="P678" s="28">
        <v>35.088299999999997</v>
      </c>
      <c r="Q678" s="28">
        <v>1134.5217</v>
      </c>
      <c r="R678" s="1" t="str">
        <f t="shared" si="60"/>
        <v>Nov</v>
      </c>
      <c r="S678" s="28">
        <f t="shared" si="64"/>
        <v>573.29999999999995</v>
      </c>
      <c r="T678" s="28">
        <f t="shared" si="65"/>
        <v>561.22170000000006</v>
      </c>
      <c r="U678" s="11">
        <f t="shared" si="61"/>
        <v>0.49467691979800832</v>
      </c>
      <c r="V678" s="1" t="str">
        <f t="shared" si="62"/>
        <v>Very Slow</v>
      </c>
      <c r="W678" s="1" t="str">
        <f t="shared" si="63"/>
        <v>OK</v>
      </c>
    </row>
    <row r="679" spans="1:23">
      <c r="A679" s="1">
        <v>57297</v>
      </c>
      <c r="B679" s="10">
        <v>45977</v>
      </c>
      <c r="C679" s="1">
        <v>3</v>
      </c>
      <c r="D679" s="1" t="s">
        <v>63</v>
      </c>
      <c r="E679" s="1" t="s">
        <v>67</v>
      </c>
      <c r="F679" s="1" t="s">
        <v>59</v>
      </c>
      <c r="G679" s="1" t="s">
        <v>60</v>
      </c>
      <c r="H679" s="1" t="s">
        <v>70</v>
      </c>
      <c r="I679" s="1" t="s">
        <v>195</v>
      </c>
      <c r="J679" s="24">
        <v>21.97</v>
      </c>
      <c r="K679" s="24">
        <v>35.44</v>
      </c>
      <c r="L679" s="28">
        <v>13.47</v>
      </c>
      <c r="M679" s="1">
        <v>44</v>
      </c>
      <c r="N679" s="28">
        <v>1559.36</v>
      </c>
      <c r="O679" s="29">
        <v>0.01</v>
      </c>
      <c r="P679" s="28">
        <v>15.5936</v>
      </c>
      <c r="Q679" s="28">
        <v>1543.7664</v>
      </c>
      <c r="R679" s="1" t="str">
        <f t="shared" si="60"/>
        <v>Nov</v>
      </c>
      <c r="S679" s="28">
        <f t="shared" si="64"/>
        <v>966.68</v>
      </c>
      <c r="T679" s="28">
        <f t="shared" si="65"/>
        <v>577.08640000000003</v>
      </c>
      <c r="U679" s="11">
        <f t="shared" si="61"/>
        <v>0.37381717855758489</v>
      </c>
      <c r="V679" s="1" t="str">
        <f t="shared" si="62"/>
        <v>Fast</v>
      </c>
      <c r="W679" s="1" t="str">
        <f t="shared" si="63"/>
        <v>OK</v>
      </c>
    </row>
    <row r="680" spans="1:23">
      <c r="A680" s="1">
        <v>57298</v>
      </c>
      <c r="B680" s="10">
        <v>45977</v>
      </c>
      <c r="C680" s="1">
        <v>16</v>
      </c>
      <c r="D680" s="1" t="s">
        <v>57</v>
      </c>
      <c r="E680" s="1" t="s">
        <v>58</v>
      </c>
      <c r="F680" s="1" t="s">
        <v>73</v>
      </c>
      <c r="G680" s="1" t="s">
        <v>60</v>
      </c>
      <c r="H680" s="1" t="s">
        <v>61</v>
      </c>
      <c r="I680" s="1" t="s">
        <v>77</v>
      </c>
      <c r="J680" s="24">
        <v>12.39</v>
      </c>
      <c r="K680" s="24">
        <v>19.98</v>
      </c>
      <c r="L680" s="28">
        <v>7.59</v>
      </c>
      <c r="M680" s="1">
        <v>20</v>
      </c>
      <c r="N680" s="28">
        <v>399.6</v>
      </c>
      <c r="O680" s="29">
        <v>0.05</v>
      </c>
      <c r="P680" s="28">
        <v>19.98</v>
      </c>
      <c r="Q680" s="28">
        <v>379.62</v>
      </c>
      <c r="R680" s="1" t="str">
        <f t="shared" si="60"/>
        <v>Nov</v>
      </c>
      <c r="S680" s="28">
        <f t="shared" si="64"/>
        <v>247.8</v>
      </c>
      <c r="T680" s="28">
        <f t="shared" si="65"/>
        <v>131.82</v>
      </c>
      <c r="U680" s="11">
        <f t="shared" si="61"/>
        <v>0.34724197882092617</v>
      </c>
      <c r="V680" s="1" t="str">
        <f t="shared" si="62"/>
        <v>Very Slow</v>
      </c>
      <c r="W680" s="1" t="str">
        <f t="shared" si="63"/>
        <v>OK</v>
      </c>
    </row>
    <row r="681" spans="1:23">
      <c r="A681" s="1">
        <v>57299</v>
      </c>
      <c r="B681" s="10">
        <v>45977</v>
      </c>
      <c r="C681" s="1">
        <v>6</v>
      </c>
      <c r="D681" s="1" t="s">
        <v>78</v>
      </c>
      <c r="E681" s="1" t="s">
        <v>67</v>
      </c>
      <c r="F681" s="1" t="s">
        <v>64</v>
      </c>
      <c r="G681" s="1" t="s">
        <v>60</v>
      </c>
      <c r="H681" s="1" t="s">
        <v>70</v>
      </c>
      <c r="I681" s="1" t="s">
        <v>77</v>
      </c>
      <c r="J681" s="24">
        <v>12.39</v>
      </c>
      <c r="K681" s="24">
        <v>19.98</v>
      </c>
      <c r="L681" s="28">
        <v>7.59</v>
      </c>
      <c r="M681" s="1">
        <v>34</v>
      </c>
      <c r="N681" s="28">
        <v>679.32</v>
      </c>
      <c r="O681" s="29">
        <v>0.06</v>
      </c>
      <c r="P681" s="28">
        <v>40.7592</v>
      </c>
      <c r="Q681" s="28">
        <v>638.56080000000009</v>
      </c>
      <c r="R681" s="1" t="str">
        <f t="shared" si="60"/>
        <v>Nov</v>
      </c>
      <c r="S681" s="28">
        <f t="shared" si="64"/>
        <v>421.26</v>
      </c>
      <c r="T681" s="28">
        <f t="shared" si="65"/>
        <v>217.30080000000009</v>
      </c>
      <c r="U681" s="11">
        <f t="shared" si="61"/>
        <v>0.34029774455306383</v>
      </c>
      <c r="V681" s="1" t="str">
        <f t="shared" si="62"/>
        <v>Standard</v>
      </c>
      <c r="W681" s="1" t="str">
        <f t="shared" si="63"/>
        <v>OK</v>
      </c>
    </row>
    <row r="682" spans="1:23">
      <c r="A682" s="1">
        <v>57300</v>
      </c>
      <c r="B682" s="10">
        <v>45978</v>
      </c>
      <c r="C682" s="1">
        <v>1</v>
      </c>
      <c r="D682" s="1" t="s">
        <v>57</v>
      </c>
      <c r="E682" s="1" t="s">
        <v>58</v>
      </c>
      <c r="F682" s="1" t="s">
        <v>73</v>
      </c>
      <c r="G682" s="1" t="s">
        <v>60</v>
      </c>
      <c r="H682" s="1" t="s">
        <v>61</v>
      </c>
      <c r="I682" s="1" t="s">
        <v>201</v>
      </c>
      <c r="J682" s="24">
        <v>3.75</v>
      </c>
      <c r="K682" s="24">
        <v>7.08</v>
      </c>
      <c r="L682" s="28">
        <v>3.33</v>
      </c>
      <c r="M682" s="1">
        <v>33</v>
      </c>
      <c r="N682" s="28">
        <v>233.64</v>
      </c>
      <c r="O682" s="29">
        <v>0.08</v>
      </c>
      <c r="P682" s="28">
        <v>18.691199999999998</v>
      </c>
      <c r="Q682" s="28">
        <v>214.94880000000001</v>
      </c>
      <c r="R682" s="1" t="str">
        <f t="shared" si="60"/>
        <v>Nov</v>
      </c>
      <c r="S682" s="28">
        <f t="shared" si="64"/>
        <v>123.75</v>
      </c>
      <c r="T682" s="28">
        <f t="shared" si="65"/>
        <v>91.198800000000006</v>
      </c>
      <c r="U682" s="11">
        <f t="shared" si="61"/>
        <v>0.42428150331613856</v>
      </c>
      <c r="V682" s="1" t="str">
        <f t="shared" si="62"/>
        <v>Fast</v>
      </c>
      <c r="W682" s="1" t="str">
        <f t="shared" si="63"/>
        <v>OK</v>
      </c>
    </row>
    <row r="683" spans="1:23">
      <c r="A683" s="1">
        <v>57301</v>
      </c>
      <c r="B683" s="10">
        <v>45978</v>
      </c>
      <c r="C683" s="1">
        <v>18</v>
      </c>
      <c r="D683" s="1" t="s">
        <v>57</v>
      </c>
      <c r="E683" s="1" t="s">
        <v>58</v>
      </c>
      <c r="F683" s="1" t="s">
        <v>73</v>
      </c>
      <c r="G683" s="1" t="s">
        <v>60</v>
      </c>
      <c r="H683" s="1" t="s">
        <v>70</v>
      </c>
      <c r="I683" s="1" t="s">
        <v>169</v>
      </c>
      <c r="J683" s="24">
        <v>0.94</v>
      </c>
      <c r="K683" s="24">
        <v>2.08</v>
      </c>
      <c r="L683" s="28">
        <v>1.1399999999999999</v>
      </c>
      <c r="M683" s="1">
        <v>42</v>
      </c>
      <c r="N683" s="28">
        <v>87.36</v>
      </c>
      <c r="O683" s="29">
        <v>0.01</v>
      </c>
      <c r="P683" s="28">
        <v>0.87360000000000004</v>
      </c>
      <c r="Q683" s="28">
        <v>86.486400000000003</v>
      </c>
      <c r="R683" s="1" t="str">
        <f t="shared" si="60"/>
        <v>Nov</v>
      </c>
      <c r="S683" s="28">
        <f t="shared" si="64"/>
        <v>39.479999999999997</v>
      </c>
      <c r="T683" s="28">
        <f t="shared" si="65"/>
        <v>47.006400000000006</v>
      </c>
      <c r="U683" s="11">
        <f t="shared" si="61"/>
        <v>0.54351204351204352</v>
      </c>
      <c r="V683" s="1" t="str">
        <f t="shared" si="62"/>
        <v>Very Slow</v>
      </c>
      <c r="W683" s="1" t="str">
        <f t="shared" si="63"/>
        <v>OK</v>
      </c>
    </row>
    <row r="684" spans="1:23">
      <c r="A684" s="1">
        <v>57302</v>
      </c>
      <c r="B684" s="10">
        <v>45979</v>
      </c>
      <c r="C684" s="1">
        <v>4</v>
      </c>
      <c r="D684" s="1" t="s">
        <v>57</v>
      </c>
      <c r="E684" s="1" t="s">
        <v>87</v>
      </c>
      <c r="F684" s="1" t="s">
        <v>18</v>
      </c>
      <c r="G684" s="1" t="s">
        <v>60</v>
      </c>
      <c r="H684" s="1" t="s">
        <v>90</v>
      </c>
      <c r="I684" s="1" t="s">
        <v>221</v>
      </c>
      <c r="J684" s="24">
        <v>19.829999999999998</v>
      </c>
      <c r="K684" s="24">
        <v>30.98</v>
      </c>
      <c r="L684" s="28">
        <v>11.15</v>
      </c>
      <c r="M684" s="1">
        <v>36</v>
      </c>
      <c r="N684" s="28">
        <v>1115.28</v>
      </c>
      <c r="O684" s="29">
        <v>0.03</v>
      </c>
      <c r="P684" s="28">
        <v>33.458399999999997</v>
      </c>
      <c r="Q684" s="28">
        <v>1081.8216</v>
      </c>
      <c r="R684" s="1" t="str">
        <f t="shared" si="60"/>
        <v>Nov</v>
      </c>
      <c r="S684" s="28">
        <f t="shared" si="64"/>
        <v>713.87999999999988</v>
      </c>
      <c r="T684" s="28">
        <f t="shared" si="65"/>
        <v>367.94160000000011</v>
      </c>
      <c r="U684" s="11">
        <f t="shared" si="61"/>
        <v>0.34011300939082756</v>
      </c>
      <c r="V684" s="1" t="str">
        <f t="shared" si="62"/>
        <v>Standard</v>
      </c>
      <c r="W684" s="1" t="str">
        <f t="shared" si="63"/>
        <v>OK</v>
      </c>
    </row>
    <row r="685" spans="1:23">
      <c r="A685" s="1">
        <v>57303</v>
      </c>
      <c r="B685" s="10">
        <v>45979</v>
      </c>
      <c r="C685" s="1">
        <v>18</v>
      </c>
      <c r="D685" s="1" t="s">
        <v>63</v>
      </c>
      <c r="E685" s="1" t="s">
        <v>87</v>
      </c>
      <c r="F685" s="1" t="s">
        <v>59</v>
      </c>
      <c r="G685" s="1" t="s">
        <v>60</v>
      </c>
      <c r="H685" s="1" t="s">
        <v>68</v>
      </c>
      <c r="I685" s="1" t="s">
        <v>112</v>
      </c>
      <c r="J685" s="24">
        <v>3.5</v>
      </c>
      <c r="K685" s="24">
        <v>5.74</v>
      </c>
      <c r="L685" s="28">
        <v>2.2400000000000002</v>
      </c>
      <c r="M685" s="1">
        <v>29</v>
      </c>
      <c r="N685" s="28">
        <v>166.46</v>
      </c>
      <c r="O685" s="29">
        <v>0.03</v>
      </c>
      <c r="P685" s="28">
        <v>4.9938000000000002</v>
      </c>
      <c r="Q685" s="28">
        <v>161.46619999999999</v>
      </c>
      <c r="R685" s="1" t="str">
        <f t="shared" si="60"/>
        <v>Nov</v>
      </c>
      <c r="S685" s="28">
        <f t="shared" si="64"/>
        <v>101.5</v>
      </c>
      <c r="T685" s="28">
        <f t="shared" si="65"/>
        <v>59.966199999999986</v>
      </c>
      <c r="U685" s="11">
        <f t="shared" si="61"/>
        <v>0.37138546643198384</v>
      </c>
      <c r="V685" s="1" t="str">
        <f t="shared" si="62"/>
        <v>Very Slow</v>
      </c>
      <c r="W685" s="1" t="str">
        <f t="shared" si="63"/>
        <v>OK</v>
      </c>
    </row>
    <row r="686" spans="1:23">
      <c r="A686" s="1">
        <v>57304</v>
      </c>
      <c r="B686" s="10">
        <v>45979</v>
      </c>
      <c r="C686" s="1">
        <v>17</v>
      </c>
      <c r="D686" s="1" t="s">
        <v>78</v>
      </c>
      <c r="E686" s="1" t="s">
        <v>67</v>
      </c>
      <c r="F686" s="1" t="s">
        <v>100</v>
      </c>
      <c r="G686" s="1" t="s">
        <v>60</v>
      </c>
      <c r="H686" s="1" t="s">
        <v>90</v>
      </c>
      <c r="I686" s="1" t="s">
        <v>222</v>
      </c>
      <c r="J686" s="24">
        <v>1.53</v>
      </c>
      <c r="K686" s="24">
        <v>2.4700000000000002</v>
      </c>
      <c r="L686" s="28">
        <v>0.94000000000000017</v>
      </c>
      <c r="M686" s="1">
        <v>57</v>
      </c>
      <c r="N686" s="28">
        <v>140.79</v>
      </c>
      <c r="O686" s="29">
        <v>0.03</v>
      </c>
      <c r="P686" s="28">
        <v>4.2237000000000009</v>
      </c>
      <c r="Q686" s="28">
        <v>136.56630000000001</v>
      </c>
      <c r="R686" s="1" t="str">
        <f t="shared" si="60"/>
        <v>Nov</v>
      </c>
      <c r="S686" s="28">
        <f t="shared" si="64"/>
        <v>87.210000000000008</v>
      </c>
      <c r="T686" s="28">
        <f t="shared" si="65"/>
        <v>49.356300000000005</v>
      </c>
      <c r="U686" s="11">
        <f t="shared" si="61"/>
        <v>0.36140907383446719</v>
      </c>
      <c r="V686" s="1" t="str">
        <f t="shared" si="62"/>
        <v>Very Slow</v>
      </c>
      <c r="W686" s="1" t="str">
        <f t="shared" si="63"/>
        <v>OK</v>
      </c>
    </row>
    <row r="687" spans="1:23">
      <c r="A687" s="1">
        <v>57305</v>
      </c>
      <c r="B687" s="10">
        <v>45979</v>
      </c>
      <c r="C687" s="1">
        <v>13</v>
      </c>
      <c r="D687" s="1" t="s">
        <v>57</v>
      </c>
      <c r="E687" s="1" t="s">
        <v>72</v>
      </c>
      <c r="F687" s="1" t="s">
        <v>73</v>
      </c>
      <c r="G687" s="1" t="s">
        <v>60</v>
      </c>
      <c r="H687" s="1" t="s">
        <v>90</v>
      </c>
      <c r="I687" s="1" t="s">
        <v>105</v>
      </c>
      <c r="J687" s="24">
        <v>3.47</v>
      </c>
      <c r="K687" s="24">
        <v>6.68</v>
      </c>
      <c r="L687" s="28">
        <v>3.21</v>
      </c>
      <c r="M687" s="1">
        <v>17</v>
      </c>
      <c r="N687" s="28">
        <v>113.56</v>
      </c>
      <c r="O687" s="29">
        <v>0.1</v>
      </c>
      <c r="P687" s="28">
        <v>11.356</v>
      </c>
      <c r="Q687" s="28">
        <v>102.20399999999999</v>
      </c>
      <c r="R687" s="1" t="str">
        <f t="shared" si="60"/>
        <v>Nov</v>
      </c>
      <c r="S687" s="28">
        <f t="shared" si="64"/>
        <v>58.99</v>
      </c>
      <c r="T687" s="28">
        <f t="shared" si="65"/>
        <v>43.213999999999992</v>
      </c>
      <c r="U687" s="11">
        <f t="shared" si="61"/>
        <v>0.42282102461743176</v>
      </c>
      <c r="V687" s="1" t="str">
        <f t="shared" si="62"/>
        <v>Slow</v>
      </c>
      <c r="W687" s="1" t="str">
        <f t="shared" si="63"/>
        <v>OK</v>
      </c>
    </row>
    <row r="688" spans="1:23">
      <c r="A688" s="1">
        <v>57306</v>
      </c>
      <c r="B688" s="10">
        <v>45980</v>
      </c>
      <c r="C688" s="1">
        <v>8</v>
      </c>
      <c r="D688" s="1" t="s">
        <v>63</v>
      </c>
      <c r="E688" s="1" t="s">
        <v>87</v>
      </c>
      <c r="F688" s="1" t="s">
        <v>73</v>
      </c>
      <c r="G688" s="1" t="s">
        <v>60</v>
      </c>
      <c r="H688" s="1" t="s">
        <v>70</v>
      </c>
      <c r="I688" s="1" t="s">
        <v>179</v>
      </c>
      <c r="J688" s="24">
        <v>0.71</v>
      </c>
      <c r="K688" s="24">
        <v>1.1399999999999999</v>
      </c>
      <c r="L688" s="28">
        <v>0.42999999999999988</v>
      </c>
      <c r="M688" s="1">
        <v>8</v>
      </c>
      <c r="N688" s="28">
        <v>9.1199999999999992</v>
      </c>
      <c r="O688" s="29">
        <v>0</v>
      </c>
      <c r="P688" s="28">
        <v>0</v>
      </c>
      <c r="Q688" s="28">
        <v>9.1199999999999992</v>
      </c>
      <c r="R688" s="1" t="str">
        <f t="shared" si="60"/>
        <v>Nov</v>
      </c>
      <c r="S688" s="28">
        <f t="shared" si="64"/>
        <v>5.68</v>
      </c>
      <c r="T688" s="28">
        <f t="shared" si="65"/>
        <v>3.4399999999999995</v>
      </c>
      <c r="U688" s="11">
        <f t="shared" si="61"/>
        <v>0.3771929824561403</v>
      </c>
      <c r="V688" s="1" t="str">
        <f t="shared" si="62"/>
        <v>Slow</v>
      </c>
      <c r="W688" s="1" t="str">
        <f t="shared" si="63"/>
        <v>OK</v>
      </c>
    </row>
    <row r="689" spans="1:23">
      <c r="A689" s="1">
        <v>57307</v>
      </c>
      <c r="B689" s="10">
        <v>45981</v>
      </c>
      <c r="C689" s="1">
        <v>18</v>
      </c>
      <c r="D689" s="1" t="s">
        <v>78</v>
      </c>
      <c r="E689" s="1" t="s">
        <v>72</v>
      </c>
      <c r="F689" s="1" t="s">
        <v>59</v>
      </c>
      <c r="G689" s="1" t="s">
        <v>60</v>
      </c>
      <c r="H689" s="1" t="s">
        <v>90</v>
      </c>
      <c r="I689" s="1" t="s">
        <v>103</v>
      </c>
      <c r="J689" s="24">
        <v>4.59</v>
      </c>
      <c r="K689" s="24">
        <v>7.28</v>
      </c>
      <c r="L689" s="28">
        <v>2.69</v>
      </c>
      <c r="M689" s="1">
        <v>53</v>
      </c>
      <c r="N689" s="28">
        <v>385.84</v>
      </c>
      <c r="O689" s="29">
        <v>0.01</v>
      </c>
      <c r="P689" s="28">
        <v>3.8584000000000001</v>
      </c>
      <c r="Q689" s="28">
        <v>381.98160000000001</v>
      </c>
      <c r="R689" s="1" t="str">
        <f t="shared" si="60"/>
        <v>Nov</v>
      </c>
      <c r="S689" s="28">
        <f t="shared" si="64"/>
        <v>243.26999999999998</v>
      </c>
      <c r="T689" s="28">
        <f t="shared" si="65"/>
        <v>138.71160000000003</v>
      </c>
      <c r="U689" s="11">
        <f t="shared" si="61"/>
        <v>0.36313686313686322</v>
      </c>
      <c r="V689" s="1" t="str">
        <f t="shared" si="62"/>
        <v>Very Slow</v>
      </c>
      <c r="W689" s="1" t="str">
        <f t="shared" si="63"/>
        <v>OK</v>
      </c>
    </row>
    <row r="690" spans="1:23">
      <c r="A690" s="1">
        <v>57308</v>
      </c>
      <c r="B690" s="10">
        <v>45981</v>
      </c>
      <c r="C690" s="1">
        <v>9</v>
      </c>
      <c r="D690" s="1" t="s">
        <v>57</v>
      </c>
      <c r="E690" s="1" t="s">
        <v>67</v>
      </c>
      <c r="F690" s="1" t="s">
        <v>96</v>
      </c>
      <c r="G690" s="1" t="s">
        <v>60</v>
      </c>
      <c r="H690" s="1" t="s">
        <v>70</v>
      </c>
      <c r="I690" s="1" t="s">
        <v>210</v>
      </c>
      <c r="J690" s="24">
        <v>1.05</v>
      </c>
      <c r="K690" s="24">
        <v>1.95</v>
      </c>
      <c r="L690" s="28">
        <v>0.89999999999999991</v>
      </c>
      <c r="M690" s="1">
        <v>5</v>
      </c>
      <c r="N690" s="28">
        <v>9.75</v>
      </c>
      <c r="O690" s="29">
        <v>0.09</v>
      </c>
      <c r="P690" s="28">
        <v>0.87749999999999995</v>
      </c>
      <c r="Q690" s="28">
        <v>8.8725000000000005</v>
      </c>
      <c r="R690" s="1" t="str">
        <f t="shared" si="60"/>
        <v>Nov</v>
      </c>
      <c r="S690" s="28">
        <f t="shared" si="64"/>
        <v>5.25</v>
      </c>
      <c r="T690" s="28">
        <f t="shared" si="65"/>
        <v>3.6225000000000005</v>
      </c>
      <c r="U690" s="11">
        <f t="shared" si="61"/>
        <v>0.40828402366863908</v>
      </c>
      <c r="V690" s="1" t="str">
        <f t="shared" si="62"/>
        <v>Slow</v>
      </c>
      <c r="W690" s="1" t="str">
        <f t="shared" si="63"/>
        <v>OK</v>
      </c>
    </row>
    <row r="691" spans="1:23">
      <c r="A691" s="1">
        <v>57309</v>
      </c>
      <c r="B691" s="10">
        <v>45982</v>
      </c>
      <c r="C691" s="1">
        <v>16</v>
      </c>
      <c r="D691" s="1" t="s">
        <v>78</v>
      </c>
      <c r="E691" s="1" t="s">
        <v>72</v>
      </c>
      <c r="F691" s="1" t="s">
        <v>96</v>
      </c>
      <c r="G691" s="1" t="s">
        <v>60</v>
      </c>
      <c r="H691" s="1" t="s">
        <v>68</v>
      </c>
      <c r="I691" s="1" t="s">
        <v>221</v>
      </c>
      <c r="J691" s="24">
        <v>19.829999999999998</v>
      </c>
      <c r="K691" s="24">
        <v>30.98</v>
      </c>
      <c r="L691" s="28">
        <v>11.15</v>
      </c>
      <c r="M691" s="1">
        <v>33</v>
      </c>
      <c r="N691" s="28">
        <v>1022.34</v>
      </c>
      <c r="O691" s="29">
        <v>0.01</v>
      </c>
      <c r="P691" s="28">
        <v>10.2234</v>
      </c>
      <c r="Q691" s="28">
        <v>1012.1165999999999</v>
      </c>
      <c r="R691" s="1" t="str">
        <f t="shared" si="60"/>
        <v>Nov</v>
      </c>
      <c r="S691" s="28">
        <f t="shared" si="64"/>
        <v>654.39</v>
      </c>
      <c r="T691" s="28">
        <f t="shared" si="65"/>
        <v>357.72659999999996</v>
      </c>
      <c r="U691" s="11">
        <f t="shared" si="61"/>
        <v>0.35344405970616427</v>
      </c>
      <c r="V691" s="1" t="str">
        <f t="shared" si="62"/>
        <v>Very Slow</v>
      </c>
      <c r="W691" s="1" t="str">
        <f t="shared" si="63"/>
        <v>OK</v>
      </c>
    </row>
    <row r="692" spans="1:23">
      <c r="A692" s="1">
        <v>57310</v>
      </c>
      <c r="B692" s="10">
        <v>45982</v>
      </c>
      <c r="C692" s="1">
        <v>4</v>
      </c>
      <c r="D692" s="1" t="s">
        <v>57</v>
      </c>
      <c r="E692" s="1" t="s">
        <v>67</v>
      </c>
      <c r="F692" s="1" t="s">
        <v>96</v>
      </c>
      <c r="G692" s="1" t="s">
        <v>60</v>
      </c>
      <c r="H692" s="1" t="s">
        <v>68</v>
      </c>
      <c r="I692" s="1" t="s">
        <v>165</v>
      </c>
      <c r="J692" s="24">
        <v>1.3</v>
      </c>
      <c r="K692" s="24">
        <v>2.88</v>
      </c>
      <c r="L692" s="28">
        <v>1.58</v>
      </c>
      <c r="M692" s="1">
        <v>41</v>
      </c>
      <c r="N692" s="28">
        <v>118.08</v>
      </c>
      <c r="O692" s="29">
        <v>0.05</v>
      </c>
      <c r="P692" s="28">
        <v>5.9039999999999999</v>
      </c>
      <c r="Q692" s="28">
        <v>112.176</v>
      </c>
      <c r="R692" s="1" t="str">
        <f t="shared" si="60"/>
        <v>Nov</v>
      </c>
      <c r="S692" s="28">
        <f t="shared" si="64"/>
        <v>53.300000000000004</v>
      </c>
      <c r="T692" s="28">
        <f t="shared" si="65"/>
        <v>58.875999999999998</v>
      </c>
      <c r="U692" s="11">
        <f t="shared" si="61"/>
        <v>0.52485380116959057</v>
      </c>
      <c r="V692" s="1" t="str">
        <f t="shared" si="62"/>
        <v>Standard</v>
      </c>
      <c r="W692" s="1" t="str">
        <f t="shared" si="63"/>
        <v>OK</v>
      </c>
    </row>
    <row r="693" spans="1:23">
      <c r="A693" s="1">
        <v>57311</v>
      </c>
      <c r="B693" s="10">
        <v>45982</v>
      </c>
      <c r="C693" s="1">
        <v>10</v>
      </c>
      <c r="D693" s="1" t="s">
        <v>63</v>
      </c>
      <c r="E693" s="1" t="s">
        <v>72</v>
      </c>
      <c r="F693" s="1" t="s">
        <v>64</v>
      </c>
      <c r="G693" s="1" t="s">
        <v>81</v>
      </c>
      <c r="H693" s="1" t="s">
        <v>90</v>
      </c>
      <c r="I693" s="1" t="s">
        <v>92</v>
      </c>
      <c r="J693" s="24">
        <v>39.64</v>
      </c>
      <c r="K693" s="24">
        <v>152.47999999999999</v>
      </c>
      <c r="L693" s="28">
        <v>112.84</v>
      </c>
      <c r="M693" s="1">
        <v>53</v>
      </c>
      <c r="N693" s="28">
        <v>8081.44</v>
      </c>
      <c r="O693" s="29">
        <v>0.04</v>
      </c>
      <c r="P693" s="28">
        <v>323.25760000000002</v>
      </c>
      <c r="Q693" s="28">
        <v>7758.1823999999997</v>
      </c>
      <c r="R693" s="1" t="str">
        <f t="shared" si="60"/>
        <v>Nov</v>
      </c>
      <c r="S693" s="28">
        <f t="shared" si="64"/>
        <v>2100.92</v>
      </c>
      <c r="T693" s="28">
        <f t="shared" si="65"/>
        <v>5657.2623999999996</v>
      </c>
      <c r="U693" s="11">
        <f t="shared" si="61"/>
        <v>0.72919945785239593</v>
      </c>
      <c r="V693" s="1" t="str">
        <f t="shared" si="62"/>
        <v>Slow</v>
      </c>
      <c r="W693" s="1" t="str">
        <f t="shared" si="63"/>
        <v>OK</v>
      </c>
    </row>
    <row r="694" spans="1:23">
      <c r="A694" s="1">
        <v>57312</v>
      </c>
      <c r="B694" s="10">
        <v>45982</v>
      </c>
      <c r="C694" s="1">
        <v>7</v>
      </c>
      <c r="D694" s="1" t="s">
        <v>57</v>
      </c>
      <c r="E694" s="1" t="s">
        <v>87</v>
      </c>
      <c r="F694" s="1" t="s">
        <v>75</v>
      </c>
      <c r="G694" s="1" t="s">
        <v>60</v>
      </c>
      <c r="H694" s="1" t="s">
        <v>61</v>
      </c>
      <c r="I694" s="1" t="s">
        <v>186</v>
      </c>
      <c r="J694" s="24">
        <v>11.11</v>
      </c>
      <c r="K694" s="24">
        <v>19.84</v>
      </c>
      <c r="L694" s="28">
        <v>8.73</v>
      </c>
      <c r="M694" s="1">
        <v>17</v>
      </c>
      <c r="N694" s="28">
        <v>337.28</v>
      </c>
      <c r="O694" s="29">
        <v>0</v>
      </c>
      <c r="P694" s="28">
        <v>0</v>
      </c>
      <c r="Q694" s="28">
        <v>337.28</v>
      </c>
      <c r="R694" s="1" t="str">
        <f t="shared" si="60"/>
        <v>Nov</v>
      </c>
      <c r="S694" s="28">
        <f t="shared" si="64"/>
        <v>188.87</v>
      </c>
      <c r="T694" s="28">
        <f t="shared" si="65"/>
        <v>148.40999999999997</v>
      </c>
      <c r="U694" s="11">
        <f t="shared" si="61"/>
        <v>0.44002016129032251</v>
      </c>
      <c r="V694" s="1" t="str">
        <f t="shared" si="62"/>
        <v>Standard</v>
      </c>
      <c r="W694" s="1" t="str">
        <f t="shared" si="63"/>
        <v>OK</v>
      </c>
    </row>
    <row r="695" spans="1:23">
      <c r="A695" s="1">
        <v>57313</v>
      </c>
      <c r="B695" s="10">
        <v>45983</v>
      </c>
      <c r="C695" s="1">
        <v>23</v>
      </c>
      <c r="D695" s="1" t="s">
        <v>63</v>
      </c>
      <c r="E695" s="1" t="s">
        <v>67</v>
      </c>
      <c r="F695" s="1" t="s">
        <v>100</v>
      </c>
      <c r="G695" s="1" t="s">
        <v>60</v>
      </c>
      <c r="H695" s="1" t="s">
        <v>90</v>
      </c>
      <c r="I695" s="1" t="s">
        <v>142</v>
      </c>
      <c r="J695" s="24">
        <v>2.29</v>
      </c>
      <c r="K695" s="24">
        <v>3.69</v>
      </c>
      <c r="L695" s="28">
        <v>1.4</v>
      </c>
      <c r="M695" s="1">
        <v>36</v>
      </c>
      <c r="N695" s="28">
        <v>132.84</v>
      </c>
      <c r="O695" s="29">
        <v>0.09</v>
      </c>
      <c r="P695" s="28">
        <v>11.9556</v>
      </c>
      <c r="Q695" s="28">
        <v>120.8844</v>
      </c>
      <c r="R695" s="1" t="str">
        <f t="shared" si="60"/>
        <v>Nov</v>
      </c>
      <c r="S695" s="28">
        <f t="shared" si="64"/>
        <v>82.44</v>
      </c>
      <c r="T695" s="28">
        <f t="shared" si="65"/>
        <v>38.444400000000002</v>
      </c>
      <c r="U695" s="11">
        <f t="shared" si="61"/>
        <v>0.31802614729444001</v>
      </c>
      <c r="V695" s="1" t="str">
        <f t="shared" si="62"/>
        <v>Very Slow</v>
      </c>
      <c r="W695" s="1" t="str">
        <f t="shared" si="63"/>
        <v>OK</v>
      </c>
    </row>
    <row r="696" spans="1:23">
      <c r="A696" s="1">
        <v>57314</v>
      </c>
      <c r="B696" s="10">
        <v>45983</v>
      </c>
      <c r="C696" s="1">
        <v>20</v>
      </c>
      <c r="D696" s="1" t="s">
        <v>63</v>
      </c>
      <c r="E696" s="1" t="s">
        <v>72</v>
      </c>
      <c r="F696" s="1" t="s">
        <v>79</v>
      </c>
      <c r="G696" s="1" t="s">
        <v>60</v>
      </c>
      <c r="H696" s="1" t="s">
        <v>90</v>
      </c>
      <c r="I696" s="1" t="s">
        <v>195</v>
      </c>
      <c r="J696" s="24">
        <v>21.97</v>
      </c>
      <c r="K696" s="24">
        <v>35.44</v>
      </c>
      <c r="L696" s="28">
        <v>13.47</v>
      </c>
      <c r="M696" s="1">
        <v>29</v>
      </c>
      <c r="N696" s="28">
        <v>1027.76</v>
      </c>
      <c r="O696" s="29">
        <v>0.03</v>
      </c>
      <c r="P696" s="28">
        <v>30.832799999999999</v>
      </c>
      <c r="Q696" s="28">
        <v>996.92719999999997</v>
      </c>
      <c r="R696" s="1" t="str">
        <f t="shared" si="60"/>
        <v>Nov</v>
      </c>
      <c r="S696" s="28">
        <f t="shared" si="64"/>
        <v>637.13</v>
      </c>
      <c r="T696" s="28">
        <f t="shared" si="65"/>
        <v>359.79719999999998</v>
      </c>
      <c r="U696" s="11">
        <f t="shared" si="61"/>
        <v>0.3609061925484629</v>
      </c>
      <c r="V696" s="1" t="str">
        <f t="shared" si="62"/>
        <v>Very Slow</v>
      </c>
      <c r="W696" s="1" t="str">
        <f t="shared" si="63"/>
        <v>OK</v>
      </c>
    </row>
    <row r="697" spans="1:23">
      <c r="A697" s="1">
        <v>57315</v>
      </c>
      <c r="B697" s="10">
        <v>45984</v>
      </c>
      <c r="C697" s="1">
        <v>3</v>
      </c>
      <c r="D697" s="1" t="s">
        <v>57</v>
      </c>
      <c r="E697" s="1" t="s">
        <v>58</v>
      </c>
      <c r="F697" s="1" t="s">
        <v>59</v>
      </c>
      <c r="G697" s="1" t="s">
        <v>60</v>
      </c>
      <c r="H697" s="1" t="s">
        <v>61</v>
      </c>
      <c r="I697" s="1" t="s">
        <v>179</v>
      </c>
      <c r="J697" s="24">
        <v>0.71</v>
      </c>
      <c r="K697" s="24">
        <v>1.1399999999999999</v>
      </c>
      <c r="L697" s="28">
        <v>0.42999999999999988</v>
      </c>
      <c r="M697" s="1">
        <v>5</v>
      </c>
      <c r="N697" s="28">
        <v>5.6999999999999993</v>
      </c>
      <c r="O697" s="29">
        <v>0</v>
      </c>
      <c r="P697" s="28">
        <v>0</v>
      </c>
      <c r="Q697" s="28">
        <v>5.6999999999999993</v>
      </c>
      <c r="R697" s="1" t="str">
        <f t="shared" si="60"/>
        <v>Nov</v>
      </c>
      <c r="S697" s="28">
        <f t="shared" si="64"/>
        <v>3.55</v>
      </c>
      <c r="T697" s="28">
        <f t="shared" si="65"/>
        <v>2.1499999999999995</v>
      </c>
      <c r="U697" s="11">
        <f t="shared" si="61"/>
        <v>0.3771929824561403</v>
      </c>
      <c r="V697" s="1" t="str">
        <f t="shared" si="62"/>
        <v>Fast</v>
      </c>
      <c r="W697" s="1" t="str">
        <f t="shared" si="63"/>
        <v>OK</v>
      </c>
    </row>
    <row r="698" spans="1:23">
      <c r="A698" s="1">
        <v>57316</v>
      </c>
      <c r="B698" s="10">
        <v>45985</v>
      </c>
      <c r="C698" s="1">
        <v>21</v>
      </c>
      <c r="D698" s="1" t="s">
        <v>63</v>
      </c>
      <c r="E698" s="1" t="s">
        <v>67</v>
      </c>
      <c r="F698" s="1" t="s">
        <v>75</v>
      </c>
      <c r="G698" s="1" t="s">
        <v>60</v>
      </c>
      <c r="H698" s="1" t="s">
        <v>70</v>
      </c>
      <c r="I698" s="1" t="s">
        <v>197</v>
      </c>
      <c r="J698" s="24">
        <v>2.74</v>
      </c>
      <c r="K698" s="24">
        <v>4.49</v>
      </c>
      <c r="L698" s="28">
        <v>1.75</v>
      </c>
      <c r="M698" s="1">
        <v>37</v>
      </c>
      <c r="N698" s="28">
        <v>166.13</v>
      </c>
      <c r="O698" s="29">
        <v>0.03</v>
      </c>
      <c r="P698" s="28">
        <v>4.9838999999999993</v>
      </c>
      <c r="Q698" s="28">
        <v>161.14609999999999</v>
      </c>
      <c r="R698" s="1" t="str">
        <f t="shared" si="60"/>
        <v>Nov</v>
      </c>
      <c r="S698" s="28">
        <f t="shared" si="64"/>
        <v>101.38000000000001</v>
      </c>
      <c r="T698" s="28">
        <f t="shared" si="65"/>
        <v>59.76609999999998</v>
      </c>
      <c r="U698" s="11">
        <f t="shared" si="61"/>
        <v>0.3708814547792344</v>
      </c>
      <c r="V698" s="1" t="str">
        <f t="shared" si="62"/>
        <v>Very Slow</v>
      </c>
      <c r="W698" s="1" t="str">
        <f t="shared" si="63"/>
        <v>OK</v>
      </c>
    </row>
    <row r="699" spans="1:23">
      <c r="A699" s="1">
        <v>57317</v>
      </c>
      <c r="B699" s="10">
        <v>45985</v>
      </c>
      <c r="C699" s="1">
        <v>9</v>
      </c>
      <c r="D699" s="1" t="s">
        <v>57</v>
      </c>
      <c r="E699" s="1" t="s">
        <v>58</v>
      </c>
      <c r="F699" s="1" t="s">
        <v>73</v>
      </c>
      <c r="G699" s="1" t="s">
        <v>81</v>
      </c>
      <c r="H699" s="1" t="s">
        <v>70</v>
      </c>
      <c r="I699" s="1" t="s">
        <v>166</v>
      </c>
      <c r="J699" s="24">
        <v>20.18</v>
      </c>
      <c r="K699" s="24">
        <v>35.409999999999997</v>
      </c>
      <c r="L699" s="28">
        <v>15.23</v>
      </c>
      <c r="M699" s="1">
        <v>6</v>
      </c>
      <c r="N699" s="28">
        <v>212.46</v>
      </c>
      <c r="O699" s="29">
        <v>0</v>
      </c>
      <c r="P699" s="28">
        <v>0</v>
      </c>
      <c r="Q699" s="28">
        <v>212.46</v>
      </c>
      <c r="R699" s="1" t="str">
        <f t="shared" si="60"/>
        <v>Nov</v>
      </c>
      <c r="S699" s="28">
        <f t="shared" si="64"/>
        <v>121.08</v>
      </c>
      <c r="T699" s="28">
        <f t="shared" si="65"/>
        <v>91.38000000000001</v>
      </c>
      <c r="U699" s="11">
        <f t="shared" si="61"/>
        <v>0.4301044902569896</v>
      </c>
      <c r="V699" s="1" t="str">
        <f t="shared" si="62"/>
        <v>Slow</v>
      </c>
      <c r="W699" s="1" t="str">
        <f t="shared" si="63"/>
        <v>OK</v>
      </c>
    </row>
    <row r="700" spans="1:23">
      <c r="A700" s="1">
        <v>57318</v>
      </c>
      <c r="B700" s="10">
        <v>45987</v>
      </c>
      <c r="C700" s="1">
        <v>10</v>
      </c>
      <c r="D700" s="1" t="s">
        <v>57</v>
      </c>
      <c r="E700" s="1" t="s">
        <v>58</v>
      </c>
      <c r="F700" s="1" t="s">
        <v>100</v>
      </c>
      <c r="G700" s="1" t="s">
        <v>60</v>
      </c>
      <c r="H700" s="1" t="s">
        <v>90</v>
      </c>
      <c r="I700" s="1" t="s">
        <v>149</v>
      </c>
      <c r="J700" s="24">
        <v>3.52</v>
      </c>
      <c r="K700" s="24">
        <v>5.68</v>
      </c>
      <c r="L700" s="28">
        <v>2.16</v>
      </c>
      <c r="M700" s="1">
        <v>22</v>
      </c>
      <c r="N700" s="28">
        <v>124.96</v>
      </c>
      <c r="O700" s="29">
        <v>0.02</v>
      </c>
      <c r="P700" s="28">
        <v>2.4992000000000001</v>
      </c>
      <c r="Q700" s="28">
        <v>122.46080000000001</v>
      </c>
      <c r="R700" s="1" t="str">
        <f t="shared" si="60"/>
        <v>Nov</v>
      </c>
      <c r="S700" s="28">
        <f t="shared" si="64"/>
        <v>77.44</v>
      </c>
      <c r="T700" s="28">
        <f t="shared" si="65"/>
        <v>45.020800000000008</v>
      </c>
      <c r="U700" s="11">
        <f t="shared" si="61"/>
        <v>0.36763437769473994</v>
      </c>
      <c r="V700" s="1" t="str">
        <f t="shared" si="62"/>
        <v>Slow</v>
      </c>
      <c r="W700" s="1" t="str">
        <f t="shared" si="63"/>
        <v>OK</v>
      </c>
    </row>
    <row r="701" spans="1:23">
      <c r="A701" s="1">
        <v>57319</v>
      </c>
      <c r="B701" s="10">
        <v>45987</v>
      </c>
      <c r="C701" s="1">
        <v>8</v>
      </c>
      <c r="D701" s="1" t="s">
        <v>78</v>
      </c>
      <c r="E701" s="1" t="s">
        <v>87</v>
      </c>
      <c r="F701" s="1" t="s">
        <v>64</v>
      </c>
      <c r="G701" s="1" t="s">
        <v>60</v>
      </c>
      <c r="H701" s="1" t="s">
        <v>65</v>
      </c>
      <c r="I701" s="1" t="s">
        <v>101</v>
      </c>
      <c r="J701" s="24">
        <v>1.94</v>
      </c>
      <c r="K701" s="24">
        <v>3.08</v>
      </c>
      <c r="L701" s="28">
        <v>1.1399999999999999</v>
      </c>
      <c r="M701" s="1">
        <v>47</v>
      </c>
      <c r="N701" s="28">
        <v>144.76</v>
      </c>
      <c r="O701" s="29">
        <v>0.04</v>
      </c>
      <c r="P701" s="28">
        <v>5.7904</v>
      </c>
      <c r="Q701" s="28">
        <v>138.96960000000001</v>
      </c>
      <c r="R701" s="1" t="str">
        <f t="shared" si="60"/>
        <v>Nov</v>
      </c>
      <c r="S701" s="28">
        <f t="shared" si="64"/>
        <v>91.179999999999993</v>
      </c>
      <c r="T701" s="28">
        <f t="shared" si="65"/>
        <v>47.789600000000021</v>
      </c>
      <c r="U701" s="11">
        <f t="shared" si="61"/>
        <v>0.34388528138528152</v>
      </c>
      <c r="V701" s="1" t="str">
        <f t="shared" si="62"/>
        <v>Slow</v>
      </c>
      <c r="W701" s="1" t="str">
        <f t="shared" si="63"/>
        <v>OK</v>
      </c>
    </row>
    <row r="702" spans="1:23">
      <c r="A702" s="1">
        <v>57320</v>
      </c>
      <c r="B702" s="10">
        <v>45989</v>
      </c>
      <c r="C702" s="1">
        <v>21</v>
      </c>
      <c r="D702" s="1" t="s">
        <v>57</v>
      </c>
      <c r="E702" s="1" t="s">
        <v>72</v>
      </c>
      <c r="F702" s="1" t="s">
        <v>73</v>
      </c>
      <c r="G702" s="1" t="s">
        <v>60</v>
      </c>
      <c r="H702" s="1" t="s">
        <v>90</v>
      </c>
      <c r="I702" s="1" t="s">
        <v>207</v>
      </c>
      <c r="J702" s="24">
        <v>11.04</v>
      </c>
      <c r="K702" s="24">
        <v>16.98</v>
      </c>
      <c r="L702" s="28">
        <v>5.9400000000000013</v>
      </c>
      <c r="M702" s="1">
        <v>48</v>
      </c>
      <c r="N702" s="28">
        <v>815.04</v>
      </c>
      <c r="O702" s="29">
        <v>0.09</v>
      </c>
      <c r="P702" s="28">
        <v>73.3536</v>
      </c>
      <c r="Q702" s="28">
        <v>741.68639999999994</v>
      </c>
      <c r="R702" s="1" t="str">
        <f t="shared" si="60"/>
        <v>Nov</v>
      </c>
      <c r="S702" s="28">
        <f t="shared" si="64"/>
        <v>529.91999999999996</v>
      </c>
      <c r="T702" s="28">
        <f t="shared" si="65"/>
        <v>211.76639999999998</v>
      </c>
      <c r="U702" s="11">
        <f t="shared" si="61"/>
        <v>0.28552013357667066</v>
      </c>
      <c r="V702" s="1" t="str">
        <f t="shared" si="62"/>
        <v>Very Slow</v>
      </c>
      <c r="W702" s="1" t="str">
        <f t="shared" si="63"/>
        <v>OK</v>
      </c>
    </row>
    <row r="703" spans="1:23">
      <c r="A703" s="1">
        <v>57321</v>
      </c>
      <c r="B703" s="10">
        <v>45989</v>
      </c>
      <c r="C703" s="1">
        <v>23</v>
      </c>
      <c r="D703" s="1" t="s">
        <v>78</v>
      </c>
      <c r="E703" s="1" t="s">
        <v>67</v>
      </c>
      <c r="F703" s="1" t="s">
        <v>73</v>
      </c>
      <c r="G703" s="1" t="s">
        <v>81</v>
      </c>
      <c r="H703" s="1" t="s">
        <v>90</v>
      </c>
      <c r="I703" s="1" t="s">
        <v>172</v>
      </c>
      <c r="J703" s="24">
        <v>315.61</v>
      </c>
      <c r="K703" s="24">
        <v>500.97</v>
      </c>
      <c r="L703" s="28">
        <v>185.36</v>
      </c>
      <c r="M703" s="1">
        <v>23</v>
      </c>
      <c r="N703" s="28">
        <v>11522.31</v>
      </c>
      <c r="O703" s="29">
        <v>0.02</v>
      </c>
      <c r="P703" s="28">
        <v>230.4462</v>
      </c>
      <c r="Q703" s="28">
        <v>11291.863799999999</v>
      </c>
      <c r="R703" s="1" t="str">
        <f t="shared" si="60"/>
        <v>Nov</v>
      </c>
      <c r="S703" s="28">
        <f t="shared" si="64"/>
        <v>7259.0300000000007</v>
      </c>
      <c r="T703" s="28">
        <f t="shared" si="65"/>
        <v>4032.8337999999985</v>
      </c>
      <c r="U703" s="11">
        <f t="shared" si="61"/>
        <v>0.35714509769414671</v>
      </c>
      <c r="V703" s="1" t="str">
        <f t="shared" si="62"/>
        <v>Very Slow</v>
      </c>
      <c r="W703" s="1" t="str">
        <f t="shared" si="63"/>
        <v>OK</v>
      </c>
    </row>
    <row r="704" spans="1:23">
      <c r="A704" s="1">
        <v>57322</v>
      </c>
      <c r="B704" s="10">
        <v>45989</v>
      </c>
      <c r="C704" s="1">
        <v>5</v>
      </c>
      <c r="D704" s="1" t="s">
        <v>78</v>
      </c>
      <c r="E704" s="1" t="s">
        <v>72</v>
      </c>
      <c r="F704" s="1" t="s">
        <v>73</v>
      </c>
      <c r="G704" s="1" t="s">
        <v>85</v>
      </c>
      <c r="H704" s="1" t="s">
        <v>90</v>
      </c>
      <c r="I704" s="1" t="s">
        <v>86</v>
      </c>
      <c r="J704" s="24">
        <v>5.5</v>
      </c>
      <c r="K704" s="24">
        <v>12.22</v>
      </c>
      <c r="L704" s="28">
        <v>6.7200000000000006</v>
      </c>
      <c r="M704" s="1">
        <v>1</v>
      </c>
      <c r="N704" s="28">
        <v>12.22</v>
      </c>
      <c r="O704" s="29">
        <v>0.1</v>
      </c>
      <c r="P704" s="28">
        <v>1.222</v>
      </c>
      <c r="Q704" s="28">
        <v>10.997999999999999</v>
      </c>
      <c r="R704" s="1" t="str">
        <f t="shared" si="60"/>
        <v>Nov</v>
      </c>
      <c r="S704" s="28">
        <f t="shared" si="64"/>
        <v>5.5</v>
      </c>
      <c r="T704" s="28">
        <f t="shared" si="65"/>
        <v>5.4979999999999993</v>
      </c>
      <c r="U704" s="11">
        <f t="shared" si="61"/>
        <v>0.49990907437715948</v>
      </c>
      <c r="V704" s="1" t="str">
        <f t="shared" si="62"/>
        <v>Standard</v>
      </c>
      <c r="W704" s="1" t="str">
        <f t="shared" si="63"/>
        <v>OK</v>
      </c>
    </row>
    <row r="705" spans="1:23">
      <c r="A705" s="1">
        <v>57323</v>
      </c>
      <c r="B705" s="10">
        <v>45990</v>
      </c>
      <c r="C705" s="1">
        <v>14</v>
      </c>
      <c r="D705" s="1" t="s">
        <v>63</v>
      </c>
      <c r="E705" s="1" t="s">
        <v>58</v>
      </c>
      <c r="F705" s="1" t="s">
        <v>96</v>
      </c>
      <c r="G705" s="1" t="s">
        <v>60</v>
      </c>
      <c r="H705" s="1" t="s">
        <v>90</v>
      </c>
      <c r="I705" s="1" t="s">
        <v>62</v>
      </c>
      <c r="J705" s="24">
        <v>4.1900000000000004</v>
      </c>
      <c r="K705" s="24">
        <v>10.23</v>
      </c>
      <c r="L705" s="28">
        <v>6.04</v>
      </c>
      <c r="M705" s="1">
        <v>39</v>
      </c>
      <c r="N705" s="28">
        <v>398.97</v>
      </c>
      <c r="O705" s="29">
        <v>0.08</v>
      </c>
      <c r="P705" s="28">
        <v>31.9176</v>
      </c>
      <c r="Q705" s="28">
        <v>367.05239999999998</v>
      </c>
      <c r="R705" s="1" t="str">
        <f t="shared" si="60"/>
        <v>Nov</v>
      </c>
      <c r="S705" s="28">
        <f t="shared" si="64"/>
        <v>163.41000000000003</v>
      </c>
      <c r="T705" s="28">
        <f t="shared" si="65"/>
        <v>203.64239999999995</v>
      </c>
      <c r="U705" s="11">
        <f t="shared" si="61"/>
        <v>0.55480470908240886</v>
      </c>
      <c r="V705" s="1" t="str">
        <f t="shared" si="62"/>
        <v>Slow</v>
      </c>
      <c r="W705" s="1" t="str">
        <f t="shared" si="63"/>
        <v>OK</v>
      </c>
    </row>
    <row r="706" spans="1:23">
      <c r="A706" s="1">
        <v>57324</v>
      </c>
      <c r="B706" s="10">
        <v>45991</v>
      </c>
      <c r="C706" s="1">
        <v>20</v>
      </c>
      <c r="D706" s="1" t="s">
        <v>57</v>
      </c>
      <c r="E706" s="1" t="s">
        <v>58</v>
      </c>
      <c r="F706" s="1" t="s">
        <v>73</v>
      </c>
      <c r="G706" s="1" t="s">
        <v>60</v>
      </c>
      <c r="H706" s="1" t="s">
        <v>70</v>
      </c>
      <c r="I706" s="1" t="s">
        <v>182</v>
      </c>
      <c r="J706" s="24">
        <v>1.19</v>
      </c>
      <c r="K706" s="24">
        <v>1.98</v>
      </c>
      <c r="L706" s="28">
        <v>0.79</v>
      </c>
      <c r="M706" s="1">
        <v>41</v>
      </c>
      <c r="N706" s="28">
        <v>81.179999999999993</v>
      </c>
      <c r="O706" s="29">
        <v>0.05</v>
      </c>
      <c r="P706" s="28">
        <v>4.0590000000000002</v>
      </c>
      <c r="Q706" s="28">
        <v>77.120999999999995</v>
      </c>
      <c r="R706" s="1" t="str">
        <f t="shared" si="60"/>
        <v>Nov</v>
      </c>
      <c r="S706" s="28">
        <f t="shared" si="64"/>
        <v>48.79</v>
      </c>
      <c r="T706" s="28">
        <f t="shared" si="65"/>
        <v>28.330999999999996</v>
      </c>
      <c r="U706" s="11">
        <f t="shared" si="61"/>
        <v>0.36735778841041994</v>
      </c>
      <c r="V706" s="1" t="str">
        <f t="shared" si="62"/>
        <v>Very Slow</v>
      </c>
      <c r="W706" s="1" t="str">
        <f t="shared" si="63"/>
        <v>OK</v>
      </c>
    </row>
    <row r="707" spans="1:23">
      <c r="A707" s="1">
        <v>57325</v>
      </c>
      <c r="B707" s="10">
        <v>45992</v>
      </c>
      <c r="C707" s="1">
        <v>19</v>
      </c>
      <c r="D707" s="1" t="s">
        <v>57</v>
      </c>
      <c r="E707" s="1" t="s">
        <v>67</v>
      </c>
      <c r="F707" s="1" t="s">
        <v>64</v>
      </c>
      <c r="G707" s="1" t="s">
        <v>60</v>
      </c>
      <c r="H707" s="1" t="s">
        <v>70</v>
      </c>
      <c r="I707" s="1" t="s">
        <v>151</v>
      </c>
      <c r="J707" s="24">
        <v>2.31</v>
      </c>
      <c r="K707" s="24">
        <v>3.78</v>
      </c>
      <c r="L707" s="28">
        <v>1.47</v>
      </c>
      <c r="M707" s="1">
        <v>21</v>
      </c>
      <c r="N707" s="28">
        <v>79.38</v>
      </c>
      <c r="O707" s="29">
        <v>0.1</v>
      </c>
      <c r="P707" s="28">
        <v>7.9379999999999997</v>
      </c>
      <c r="Q707" s="28">
        <v>71.441999999999993</v>
      </c>
      <c r="R707" s="1" t="str">
        <f t="shared" si="60"/>
        <v>Dec</v>
      </c>
      <c r="S707" s="28">
        <f t="shared" si="64"/>
        <v>48.51</v>
      </c>
      <c r="T707" s="28">
        <f t="shared" si="65"/>
        <v>22.931999999999995</v>
      </c>
      <c r="U707" s="11">
        <f t="shared" si="61"/>
        <v>0.32098765432098764</v>
      </c>
      <c r="V707" s="1" t="str">
        <f t="shared" si="62"/>
        <v>Very Slow</v>
      </c>
      <c r="W707" s="1" t="str">
        <f t="shared" si="63"/>
        <v>OK</v>
      </c>
    </row>
    <row r="708" spans="1:23">
      <c r="A708" s="1">
        <v>57326</v>
      </c>
      <c r="B708" s="10">
        <v>45992</v>
      </c>
      <c r="C708" s="1">
        <v>16</v>
      </c>
      <c r="D708" s="1" t="s">
        <v>78</v>
      </c>
      <c r="E708" s="1" t="s">
        <v>87</v>
      </c>
      <c r="F708" s="1" t="s">
        <v>98</v>
      </c>
      <c r="G708" s="1" t="s">
        <v>60</v>
      </c>
      <c r="H708" s="1" t="s">
        <v>90</v>
      </c>
      <c r="I708" s="1" t="s">
        <v>123</v>
      </c>
      <c r="J708" s="24">
        <v>1.18</v>
      </c>
      <c r="K708" s="24">
        <v>1.88</v>
      </c>
      <c r="L708" s="28">
        <v>0.7</v>
      </c>
      <c r="M708" s="1">
        <v>27</v>
      </c>
      <c r="N708" s="28">
        <v>50.76</v>
      </c>
      <c r="O708" s="29">
        <v>0.1</v>
      </c>
      <c r="P708" s="28">
        <v>5.0760000000000014</v>
      </c>
      <c r="Q708" s="28">
        <v>45.683999999999997</v>
      </c>
      <c r="R708" s="1" t="str">
        <f t="shared" si="60"/>
        <v>Dec</v>
      </c>
      <c r="S708" s="28">
        <f t="shared" si="64"/>
        <v>31.86</v>
      </c>
      <c r="T708" s="28">
        <f t="shared" si="65"/>
        <v>13.823999999999998</v>
      </c>
      <c r="U708" s="11">
        <f t="shared" si="61"/>
        <v>0.30260047281323876</v>
      </c>
      <c r="V708" s="1" t="str">
        <f t="shared" si="62"/>
        <v>Very Slow</v>
      </c>
      <c r="W708" s="1" t="str">
        <f t="shared" si="63"/>
        <v>OK</v>
      </c>
    </row>
    <row r="709" spans="1:23">
      <c r="A709" s="1">
        <v>57327</v>
      </c>
      <c r="B709" s="10">
        <v>45992</v>
      </c>
      <c r="C709" s="1">
        <v>7</v>
      </c>
      <c r="D709" s="1" t="s">
        <v>63</v>
      </c>
      <c r="E709" s="1" t="s">
        <v>72</v>
      </c>
      <c r="F709" s="1" t="s">
        <v>75</v>
      </c>
      <c r="G709" s="1" t="s">
        <v>60</v>
      </c>
      <c r="H709" s="1" t="s">
        <v>68</v>
      </c>
      <c r="I709" s="1" t="s">
        <v>186</v>
      </c>
      <c r="J709" s="24">
        <v>11.11</v>
      </c>
      <c r="K709" s="24">
        <v>19.84</v>
      </c>
      <c r="L709" s="28">
        <v>8.73</v>
      </c>
      <c r="M709" s="1">
        <v>37</v>
      </c>
      <c r="N709" s="28">
        <v>734.08</v>
      </c>
      <c r="O709" s="29">
        <v>0.03</v>
      </c>
      <c r="P709" s="28">
        <v>22.022400000000001</v>
      </c>
      <c r="Q709" s="28">
        <v>712.05760000000009</v>
      </c>
      <c r="R709" s="1" t="str">
        <f t="shared" ref="R709:R772" si="66">TEXT(B709,"mmm")</f>
        <v>Dec</v>
      </c>
      <c r="S709" s="28">
        <f t="shared" si="64"/>
        <v>411.07</v>
      </c>
      <c r="T709" s="28">
        <f t="shared" si="65"/>
        <v>300.9876000000001</v>
      </c>
      <c r="U709" s="11">
        <f t="shared" ref="U709:U772" si="67">IF(Q709=0,0,T709/Q709)</f>
        <v>0.42270119720651822</v>
      </c>
      <c r="V709" s="1" t="str">
        <f t="shared" ref="V709:V772" si="68">IF(C709&lt;=3,"Fast",IF(C709&lt;=7,"Standard",IF(C709&lt;=14,"Slow","Very Slow")))</f>
        <v>Standard</v>
      </c>
      <c r="W709" s="1" t="str">
        <f t="shared" ref="W709:W772" si="69">IF(OR(H709="Not Specifiedd",P709&lt;0),"Review","OK")</f>
        <v>OK</v>
      </c>
    </row>
    <row r="710" spans="1:23">
      <c r="A710" s="1">
        <v>57328</v>
      </c>
      <c r="B710" s="10">
        <v>45993</v>
      </c>
      <c r="C710" s="1">
        <v>21</v>
      </c>
      <c r="D710" s="1" t="s">
        <v>57</v>
      </c>
      <c r="E710" s="1" t="s">
        <v>58</v>
      </c>
      <c r="F710" s="1" t="s">
        <v>59</v>
      </c>
      <c r="G710" s="1" t="s">
        <v>60</v>
      </c>
      <c r="H710" s="1" t="s">
        <v>61</v>
      </c>
      <c r="I710" s="1" t="s">
        <v>180</v>
      </c>
      <c r="J710" s="24">
        <v>54.29</v>
      </c>
      <c r="K710" s="24">
        <v>90.48</v>
      </c>
      <c r="L710" s="28">
        <v>36.19</v>
      </c>
      <c r="M710" s="1">
        <v>23</v>
      </c>
      <c r="N710" s="28">
        <v>2081.04</v>
      </c>
      <c r="O710" s="29">
        <v>0.02</v>
      </c>
      <c r="P710" s="28">
        <v>41.620800000000003</v>
      </c>
      <c r="Q710" s="28">
        <v>2039.4192</v>
      </c>
      <c r="R710" s="1" t="str">
        <f t="shared" si="66"/>
        <v>Dec</v>
      </c>
      <c r="S710" s="28">
        <f t="shared" ref="S710:S773" si="70">J710*M710</f>
        <v>1248.67</v>
      </c>
      <c r="T710" s="28">
        <f t="shared" ref="T710:T773" si="71">Q710-S710</f>
        <v>790.74919999999997</v>
      </c>
      <c r="U710" s="11">
        <f t="shared" si="67"/>
        <v>0.38773254659954165</v>
      </c>
      <c r="V710" s="1" t="str">
        <f t="shared" si="68"/>
        <v>Very Slow</v>
      </c>
      <c r="W710" s="1" t="str">
        <f t="shared" si="69"/>
        <v>OK</v>
      </c>
    </row>
    <row r="711" spans="1:23">
      <c r="A711" s="1">
        <v>57329</v>
      </c>
      <c r="B711" s="10">
        <v>45993</v>
      </c>
      <c r="C711" s="1">
        <v>15</v>
      </c>
      <c r="D711" s="1" t="s">
        <v>78</v>
      </c>
      <c r="E711" s="1" t="s">
        <v>67</v>
      </c>
      <c r="F711" s="1" t="s">
        <v>83</v>
      </c>
      <c r="G711" s="1" t="s">
        <v>81</v>
      </c>
      <c r="H711" s="1" t="s">
        <v>70</v>
      </c>
      <c r="I711" s="1" t="s">
        <v>110</v>
      </c>
      <c r="J711" s="24">
        <v>278.99</v>
      </c>
      <c r="K711" s="24">
        <v>449.99</v>
      </c>
      <c r="L711" s="28">
        <v>171</v>
      </c>
      <c r="M711" s="1">
        <v>51</v>
      </c>
      <c r="N711" s="28">
        <v>22949.49</v>
      </c>
      <c r="O711" s="29">
        <v>0.02</v>
      </c>
      <c r="P711" s="28">
        <v>458.98980000000012</v>
      </c>
      <c r="Q711" s="28">
        <v>22490.500199999999</v>
      </c>
      <c r="R711" s="1" t="str">
        <f t="shared" si="66"/>
        <v>Dec</v>
      </c>
      <c r="S711" s="28">
        <f t="shared" si="70"/>
        <v>14228.49</v>
      </c>
      <c r="T711" s="28">
        <f t="shared" si="71"/>
        <v>8262.0101999999988</v>
      </c>
      <c r="U711" s="11">
        <f t="shared" si="67"/>
        <v>0.36735555574704376</v>
      </c>
      <c r="V711" s="1" t="str">
        <f t="shared" si="68"/>
        <v>Very Slow</v>
      </c>
      <c r="W711" s="1" t="str">
        <f t="shared" si="69"/>
        <v>OK</v>
      </c>
    </row>
    <row r="712" spans="1:23">
      <c r="A712" s="1">
        <v>57330</v>
      </c>
      <c r="B712" s="10">
        <v>45994</v>
      </c>
      <c r="C712" s="1">
        <v>12</v>
      </c>
      <c r="D712" s="1" t="s">
        <v>57</v>
      </c>
      <c r="E712" s="1" t="s">
        <v>72</v>
      </c>
      <c r="F712" s="1" t="s">
        <v>84</v>
      </c>
      <c r="G712" s="1" t="s">
        <v>60</v>
      </c>
      <c r="H712" s="1" t="s">
        <v>70</v>
      </c>
      <c r="I712" s="1" t="s">
        <v>226</v>
      </c>
      <c r="J712" s="24">
        <v>16.850000000000001</v>
      </c>
      <c r="K712" s="24">
        <v>27.18</v>
      </c>
      <c r="L712" s="28">
        <v>10.33</v>
      </c>
      <c r="M712" s="1">
        <v>43</v>
      </c>
      <c r="N712" s="28">
        <v>1168.74</v>
      </c>
      <c r="O712" s="29">
        <v>0.01</v>
      </c>
      <c r="P712" s="28">
        <v>11.6874</v>
      </c>
      <c r="Q712" s="28">
        <v>1157.0526</v>
      </c>
      <c r="R712" s="1" t="str">
        <f t="shared" si="66"/>
        <v>Dec</v>
      </c>
      <c r="S712" s="28">
        <f t="shared" si="70"/>
        <v>724.55000000000007</v>
      </c>
      <c r="T712" s="28">
        <f t="shared" si="71"/>
        <v>432.50259999999992</v>
      </c>
      <c r="U712" s="11">
        <f t="shared" si="67"/>
        <v>0.37379683516548851</v>
      </c>
      <c r="V712" s="1" t="str">
        <f t="shared" si="68"/>
        <v>Slow</v>
      </c>
      <c r="W712" s="1" t="str">
        <f t="shared" si="69"/>
        <v>OK</v>
      </c>
    </row>
    <row r="713" spans="1:23">
      <c r="A713" s="1">
        <v>57331</v>
      </c>
      <c r="B713" s="10">
        <v>45995</v>
      </c>
      <c r="C713" s="1">
        <v>21</v>
      </c>
      <c r="D713" s="1" t="s">
        <v>57</v>
      </c>
      <c r="E713" s="1" t="s">
        <v>67</v>
      </c>
      <c r="F713" s="1" t="s">
        <v>73</v>
      </c>
      <c r="G713" s="1" t="s">
        <v>81</v>
      </c>
      <c r="H713" s="1" t="s">
        <v>68</v>
      </c>
      <c r="I713" s="1" t="s">
        <v>139</v>
      </c>
      <c r="J713" s="24">
        <v>6.39</v>
      </c>
      <c r="K713" s="24">
        <v>19.98</v>
      </c>
      <c r="L713" s="28">
        <v>13.59</v>
      </c>
      <c r="M713" s="1">
        <v>9</v>
      </c>
      <c r="N713" s="28">
        <v>179.82</v>
      </c>
      <c r="O713" s="29">
        <v>0.06</v>
      </c>
      <c r="P713" s="28">
        <v>10.789199999999999</v>
      </c>
      <c r="Q713" s="28">
        <v>169.0308</v>
      </c>
      <c r="R713" s="1" t="str">
        <f t="shared" si="66"/>
        <v>Dec</v>
      </c>
      <c r="S713" s="28">
        <f t="shared" si="70"/>
        <v>57.51</v>
      </c>
      <c r="T713" s="28">
        <f t="shared" si="71"/>
        <v>111.52080000000001</v>
      </c>
      <c r="U713" s="11">
        <f t="shared" si="67"/>
        <v>0.65976614912785125</v>
      </c>
      <c r="V713" s="1" t="str">
        <f t="shared" si="68"/>
        <v>Very Slow</v>
      </c>
      <c r="W713" s="1" t="str">
        <f t="shared" si="69"/>
        <v>OK</v>
      </c>
    </row>
    <row r="714" spans="1:23">
      <c r="A714" s="1">
        <v>57332</v>
      </c>
      <c r="B714" s="10">
        <v>45995</v>
      </c>
      <c r="C714" s="1">
        <v>1</v>
      </c>
      <c r="D714" s="1" t="s">
        <v>78</v>
      </c>
      <c r="E714" s="1" t="s">
        <v>87</v>
      </c>
      <c r="F714" s="1" t="s">
        <v>98</v>
      </c>
      <c r="G714" s="1" t="s">
        <v>60</v>
      </c>
      <c r="H714" s="1" t="s">
        <v>70</v>
      </c>
      <c r="I714" s="1" t="s">
        <v>222</v>
      </c>
      <c r="J714" s="24">
        <v>1.53</v>
      </c>
      <c r="K714" s="24">
        <v>2.4700000000000002</v>
      </c>
      <c r="L714" s="28">
        <v>0.94000000000000017</v>
      </c>
      <c r="M714" s="1">
        <v>40</v>
      </c>
      <c r="N714" s="28">
        <v>98.800000000000011</v>
      </c>
      <c r="O714" s="29">
        <v>7.0000000000000007E-2</v>
      </c>
      <c r="P714" s="28">
        <v>6.9160000000000013</v>
      </c>
      <c r="Q714" s="28">
        <v>91.884000000000015</v>
      </c>
      <c r="R714" s="1" t="str">
        <f t="shared" si="66"/>
        <v>Dec</v>
      </c>
      <c r="S714" s="28">
        <f t="shared" si="70"/>
        <v>61.2</v>
      </c>
      <c r="T714" s="28">
        <f t="shared" si="71"/>
        <v>30.684000000000012</v>
      </c>
      <c r="U714" s="11">
        <f t="shared" si="67"/>
        <v>0.33394279744025085</v>
      </c>
      <c r="V714" s="1" t="str">
        <f t="shared" si="68"/>
        <v>Fast</v>
      </c>
      <c r="W714" s="1" t="str">
        <f t="shared" si="69"/>
        <v>OK</v>
      </c>
    </row>
    <row r="715" spans="1:23">
      <c r="A715" s="1">
        <v>57333</v>
      </c>
      <c r="B715" s="10">
        <v>45995</v>
      </c>
      <c r="C715" s="1">
        <v>8</v>
      </c>
      <c r="D715" s="1" t="s">
        <v>78</v>
      </c>
      <c r="E715" s="1" t="s">
        <v>87</v>
      </c>
      <c r="F715" s="1" t="s">
        <v>98</v>
      </c>
      <c r="G715" s="1" t="s">
        <v>60</v>
      </c>
      <c r="H715" s="1" t="s">
        <v>70</v>
      </c>
      <c r="I715" s="1" t="s">
        <v>181</v>
      </c>
      <c r="J715" s="24">
        <v>3.48</v>
      </c>
      <c r="K715" s="24">
        <v>5.43</v>
      </c>
      <c r="L715" s="28">
        <v>1.95</v>
      </c>
      <c r="M715" s="1">
        <v>13</v>
      </c>
      <c r="N715" s="28">
        <v>70.59</v>
      </c>
      <c r="O715" s="29">
        <v>0</v>
      </c>
      <c r="P715" s="28">
        <v>0</v>
      </c>
      <c r="Q715" s="28">
        <v>70.59</v>
      </c>
      <c r="R715" s="1" t="str">
        <f t="shared" si="66"/>
        <v>Dec</v>
      </c>
      <c r="S715" s="28">
        <f t="shared" si="70"/>
        <v>45.24</v>
      </c>
      <c r="T715" s="28">
        <f t="shared" si="71"/>
        <v>25.35</v>
      </c>
      <c r="U715" s="11">
        <f t="shared" si="67"/>
        <v>0.35911602209944754</v>
      </c>
      <c r="V715" s="1" t="str">
        <f t="shared" si="68"/>
        <v>Slow</v>
      </c>
      <c r="W715" s="1" t="str">
        <f t="shared" si="69"/>
        <v>OK</v>
      </c>
    </row>
    <row r="716" spans="1:23">
      <c r="A716" s="1">
        <v>57334</v>
      </c>
      <c r="B716" s="10">
        <v>45995</v>
      </c>
      <c r="C716" s="1">
        <v>23</v>
      </c>
      <c r="D716" s="1" t="s">
        <v>57</v>
      </c>
      <c r="E716" s="1" t="s">
        <v>72</v>
      </c>
      <c r="F716" s="1" t="s">
        <v>59</v>
      </c>
      <c r="G716" s="1" t="s">
        <v>60</v>
      </c>
      <c r="H716" s="1" t="s">
        <v>65</v>
      </c>
      <c r="I716" s="1" t="s">
        <v>168</v>
      </c>
      <c r="J716" s="24">
        <v>3.4</v>
      </c>
      <c r="K716" s="24">
        <v>5.4</v>
      </c>
      <c r="L716" s="28">
        <v>2</v>
      </c>
      <c r="M716" s="1">
        <v>8</v>
      </c>
      <c r="N716" s="28">
        <v>43.2</v>
      </c>
      <c r="O716" s="29">
        <v>0</v>
      </c>
      <c r="P716" s="28">
        <v>0</v>
      </c>
      <c r="Q716" s="28">
        <v>43.2</v>
      </c>
      <c r="R716" s="1" t="str">
        <f t="shared" si="66"/>
        <v>Dec</v>
      </c>
      <c r="S716" s="28">
        <f t="shared" si="70"/>
        <v>27.2</v>
      </c>
      <c r="T716" s="28">
        <f t="shared" si="71"/>
        <v>16.000000000000004</v>
      </c>
      <c r="U716" s="11">
        <f t="shared" si="67"/>
        <v>0.37037037037037041</v>
      </c>
      <c r="V716" s="1" t="str">
        <f t="shared" si="68"/>
        <v>Very Slow</v>
      </c>
      <c r="W716" s="1" t="str">
        <f t="shared" si="69"/>
        <v>OK</v>
      </c>
    </row>
    <row r="717" spans="1:23">
      <c r="A717" s="1">
        <v>57335</v>
      </c>
      <c r="B717" s="10">
        <v>45996</v>
      </c>
      <c r="C717" s="1">
        <v>17</v>
      </c>
      <c r="D717" s="1" t="s">
        <v>57</v>
      </c>
      <c r="E717" s="1" t="s">
        <v>72</v>
      </c>
      <c r="F717" s="1" t="s">
        <v>64</v>
      </c>
      <c r="G717" s="1" t="s">
        <v>85</v>
      </c>
      <c r="H717" s="1" t="s">
        <v>61</v>
      </c>
      <c r="I717" s="1" t="s">
        <v>170</v>
      </c>
      <c r="J717" s="24">
        <v>56.16</v>
      </c>
      <c r="K717" s="24">
        <v>136.97999999999999</v>
      </c>
      <c r="L717" s="28">
        <v>80.819999999999993</v>
      </c>
      <c r="M717" s="1">
        <v>33</v>
      </c>
      <c r="N717" s="28">
        <v>4520.3399999999992</v>
      </c>
      <c r="O717" s="29">
        <v>0.09</v>
      </c>
      <c r="P717" s="28">
        <v>406.83059999999989</v>
      </c>
      <c r="Q717" s="28">
        <v>4113.509399999999</v>
      </c>
      <c r="R717" s="1" t="str">
        <f t="shared" si="66"/>
        <v>Dec</v>
      </c>
      <c r="S717" s="28">
        <f t="shared" si="70"/>
        <v>1853.28</v>
      </c>
      <c r="T717" s="28">
        <f t="shared" si="71"/>
        <v>2260.2293999999993</v>
      </c>
      <c r="U717" s="11">
        <f t="shared" si="67"/>
        <v>0.54946498967523927</v>
      </c>
      <c r="V717" s="1" t="str">
        <f t="shared" si="68"/>
        <v>Very Slow</v>
      </c>
      <c r="W717" s="1" t="str">
        <f t="shared" si="69"/>
        <v>OK</v>
      </c>
    </row>
    <row r="718" spans="1:23">
      <c r="A718" s="1">
        <v>57336</v>
      </c>
      <c r="B718" s="10">
        <v>45996</v>
      </c>
      <c r="C718" s="1">
        <v>15</v>
      </c>
      <c r="D718" s="1" t="s">
        <v>78</v>
      </c>
      <c r="E718" s="1" t="s">
        <v>58</v>
      </c>
      <c r="F718" s="1" t="s">
        <v>100</v>
      </c>
      <c r="G718" s="1" t="s">
        <v>60</v>
      </c>
      <c r="H718" s="1" t="s">
        <v>70</v>
      </c>
      <c r="I718" s="1" t="s">
        <v>189</v>
      </c>
      <c r="J718" s="24">
        <v>52.07</v>
      </c>
      <c r="K718" s="24">
        <v>83.98</v>
      </c>
      <c r="L718" s="28">
        <v>31.91</v>
      </c>
      <c r="M718" s="1">
        <v>28</v>
      </c>
      <c r="N718" s="28">
        <v>2351.44</v>
      </c>
      <c r="O718" s="29">
        <v>0.06</v>
      </c>
      <c r="P718" s="28">
        <v>141.0864</v>
      </c>
      <c r="Q718" s="28">
        <v>2210.3535999999999</v>
      </c>
      <c r="R718" s="1" t="str">
        <f t="shared" si="66"/>
        <v>Dec</v>
      </c>
      <c r="S718" s="28">
        <f t="shared" si="70"/>
        <v>1457.96</v>
      </c>
      <c r="T718" s="28">
        <f t="shared" si="71"/>
        <v>752.39359999999988</v>
      </c>
      <c r="U718" s="11">
        <f t="shared" si="67"/>
        <v>0.34039512953945467</v>
      </c>
      <c r="V718" s="1" t="str">
        <f t="shared" si="68"/>
        <v>Very Slow</v>
      </c>
      <c r="W718" s="1" t="str">
        <f t="shared" si="69"/>
        <v>OK</v>
      </c>
    </row>
    <row r="719" spans="1:23">
      <c r="A719" s="1">
        <v>57337</v>
      </c>
      <c r="B719" s="10">
        <v>45997</v>
      </c>
      <c r="C719" s="1">
        <v>8</v>
      </c>
      <c r="D719" s="1" t="s">
        <v>57</v>
      </c>
      <c r="E719" s="1" t="s">
        <v>58</v>
      </c>
      <c r="F719" s="1" t="s">
        <v>18</v>
      </c>
      <c r="G719" s="1" t="s">
        <v>60</v>
      </c>
      <c r="H719" s="1" t="s">
        <v>68</v>
      </c>
      <c r="I719" s="1" t="s">
        <v>126</v>
      </c>
      <c r="J719" s="24">
        <v>1.0900000000000001</v>
      </c>
      <c r="K719" s="24">
        <v>2.6</v>
      </c>
      <c r="L719" s="28">
        <v>1.51</v>
      </c>
      <c r="M719" s="1">
        <v>14</v>
      </c>
      <c r="N719" s="28">
        <v>36.4</v>
      </c>
      <c r="O719" s="29">
        <v>0.05</v>
      </c>
      <c r="P719" s="28">
        <v>1.82</v>
      </c>
      <c r="Q719" s="28">
        <v>34.58</v>
      </c>
      <c r="R719" s="1" t="str">
        <f t="shared" si="66"/>
        <v>Dec</v>
      </c>
      <c r="S719" s="28">
        <f t="shared" si="70"/>
        <v>15.260000000000002</v>
      </c>
      <c r="T719" s="28">
        <f t="shared" si="71"/>
        <v>19.319999999999997</v>
      </c>
      <c r="U719" s="11">
        <f t="shared" si="67"/>
        <v>0.55870445344129549</v>
      </c>
      <c r="V719" s="1" t="str">
        <f t="shared" si="68"/>
        <v>Slow</v>
      </c>
      <c r="W719" s="1" t="str">
        <f t="shared" si="69"/>
        <v>OK</v>
      </c>
    </row>
    <row r="720" spans="1:23">
      <c r="A720" s="1">
        <v>57338</v>
      </c>
      <c r="B720" s="10">
        <v>45997</v>
      </c>
      <c r="C720" s="1">
        <v>20</v>
      </c>
      <c r="D720" s="1" t="s">
        <v>57</v>
      </c>
      <c r="E720" s="1" t="s">
        <v>87</v>
      </c>
      <c r="F720" s="1" t="s">
        <v>64</v>
      </c>
      <c r="G720" s="1" t="s">
        <v>60</v>
      </c>
      <c r="H720" s="1" t="s">
        <v>65</v>
      </c>
      <c r="I720" s="1" t="s">
        <v>198</v>
      </c>
      <c r="J720" s="24">
        <v>2.52</v>
      </c>
      <c r="K720" s="24">
        <v>4</v>
      </c>
      <c r="L720" s="28">
        <v>1.48</v>
      </c>
      <c r="M720" s="1">
        <v>34</v>
      </c>
      <c r="N720" s="28">
        <v>136</v>
      </c>
      <c r="O720" s="29">
        <v>0.01</v>
      </c>
      <c r="P720" s="28">
        <v>1.36</v>
      </c>
      <c r="Q720" s="28">
        <v>134.63999999999999</v>
      </c>
      <c r="R720" s="1" t="str">
        <f t="shared" si="66"/>
        <v>Dec</v>
      </c>
      <c r="S720" s="28">
        <f t="shared" si="70"/>
        <v>85.68</v>
      </c>
      <c r="T720" s="28">
        <f t="shared" si="71"/>
        <v>48.95999999999998</v>
      </c>
      <c r="U720" s="11">
        <f t="shared" si="67"/>
        <v>0.36363636363636354</v>
      </c>
      <c r="V720" s="1" t="str">
        <f t="shared" si="68"/>
        <v>Very Slow</v>
      </c>
      <c r="W720" s="1" t="str">
        <f t="shared" si="69"/>
        <v>OK</v>
      </c>
    </row>
    <row r="721" spans="1:23">
      <c r="A721" s="1">
        <v>57339</v>
      </c>
      <c r="B721" s="10">
        <v>45998</v>
      </c>
      <c r="C721" s="1">
        <v>8</v>
      </c>
      <c r="D721" s="1" t="s">
        <v>57</v>
      </c>
      <c r="E721" s="1" t="s">
        <v>72</v>
      </c>
      <c r="F721" s="1" t="s">
        <v>73</v>
      </c>
      <c r="G721" s="1" t="s">
        <v>60</v>
      </c>
      <c r="H721" s="1" t="s">
        <v>68</v>
      </c>
      <c r="I721" s="1" t="s">
        <v>173</v>
      </c>
      <c r="J721" s="24">
        <v>5.19</v>
      </c>
      <c r="K721" s="24">
        <v>12.98</v>
      </c>
      <c r="L721" s="28">
        <v>7.79</v>
      </c>
      <c r="M721" s="1">
        <v>11</v>
      </c>
      <c r="N721" s="28">
        <v>142.78</v>
      </c>
      <c r="O721" s="29">
        <v>0.08</v>
      </c>
      <c r="P721" s="28">
        <v>11.4224</v>
      </c>
      <c r="Q721" s="28">
        <v>131.35759999999999</v>
      </c>
      <c r="R721" s="1" t="str">
        <f t="shared" si="66"/>
        <v>Dec</v>
      </c>
      <c r="S721" s="28">
        <f t="shared" si="70"/>
        <v>57.09</v>
      </c>
      <c r="T721" s="28">
        <f t="shared" si="71"/>
        <v>74.267599999999987</v>
      </c>
      <c r="U721" s="11">
        <f t="shared" si="67"/>
        <v>0.56538487304883767</v>
      </c>
      <c r="V721" s="1" t="str">
        <f t="shared" si="68"/>
        <v>Slow</v>
      </c>
      <c r="W721" s="1" t="str">
        <f t="shared" si="69"/>
        <v>OK</v>
      </c>
    </row>
    <row r="722" spans="1:23">
      <c r="A722" s="1">
        <v>57340</v>
      </c>
      <c r="B722" s="10">
        <v>45998</v>
      </c>
      <c r="C722" s="1">
        <v>6</v>
      </c>
      <c r="D722" s="1" t="s">
        <v>63</v>
      </c>
      <c r="E722" s="1" t="s">
        <v>72</v>
      </c>
      <c r="F722" s="1" t="s">
        <v>59</v>
      </c>
      <c r="G722" s="1" t="s">
        <v>60</v>
      </c>
      <c r="H722" s="1" t="s">
        <v>68</v>
      </c>
      <c r="I722" s="1" t="s">
        <v>198</v>
      </c>
      <c r="J722" s="24">
        <v>2.52</v>
      </c>
      <c r="K722" s="24">
        <v>4</v>
      </c>
      <c r="L722" s="28">
        <v>1.48</v>
      </c>
      <c r="M722" s="1">
        <v>21</v>
      </c>
      <c r="N722" s="28">
        <v>84</v>
      </c>
      <c r="O722" s="29">
        <v>0.01</v>
      </c>
      <c r="P722" s="28">
        <v>0.84</v>
      </c>
      <c r="Q722" s="28">
        <v>83.16</v>
      </c>
      <c r="R722" s="1" t="str">
        <f t="shared" si="66"/>
        <v>Dec</v>
      </c>
      <c r="S722" s="28">
        <f t="shared" si="70"/>
        <v>52.92</v>
      </c>
      <c r="T722" s="28">
        <f t="shared" si="71"/>
        <v>30.239999999999995</v>
      </c>
      <c r="U722" s="11">
        <f t="shared" si="67"/>
        <v>0.36363636363636359</v>
      </c>
      <c r="V722" s="1" t="str">
        <f t="shared" si="68"/>
        <v>Standard</v>
      </c>
      <c r="W722" s="1" t="str">
        <f t="shared" si="69"/>
        <v>OK</v>
      </c>
    </row>
    <row r="723" spans="1:23">
      <c r="A723" s="1">
        <v>57341</v>
      </c>
      <c r="B723" s="10">
        <v>45999</v>
      </c>
      <c r="C723" s="1">
        <v>16</v>
      </c>
      <c r="D723" s="1" t="s">
        <v>57</v>
      </c>
      <c r="E723" s="1" t="s">
        <v>67</v>
      </c>
      <c r="F723" s="1" t="s">
        <v>79</v>
      </c>
      <c r="G723" s="1" t="s">
        <v>85</v>
      </c>
      <c r="H723" s="1" t="s">
        <v>68</v>
      </c>
      <c r="I723" s="1" t="s">
        <v>170</v>
      </c>
      <c r="J723" s="24">
        <v>56.16</v>
      </c>
      <c r="K723" s="24">
        <v>136.97999999999999</v>
      </c>
      <c r="L723" s="28">
        <v>80.819999999999993</v>
      </c>
      <c r="M723" s="1">
        <v>20</v>
      </c>
      <c r="N723" s="28">
        <v>2739.6</v>
      </c>
      <c r="O723" s="29">
        <v>0.05</v>
      </c>
      <c r="P723" s="28">
        <v>136.97999999999999</v>
      </c>
      <c r="Q723" s="28">
        <v>2602.62</v>
      </c>
      <c r="R723" s="1" t="str">
        <f t="shared" si="66"/>
        <v>Dec</v>
      </c>
      <c r="S723" s="28">
        <f t="shared" si="70"/>
        <v>1123.1999999999998</v>
      </c>
      <c r="T723" s="28">
        <f t="shared" si="71"/>
        <v>1479.42</v>
      </c>
      <c r="U723" s="11">
        <f t="shared" si="67"/>
        <v>0.56843488484680826</v>
      </c>
      <c r="V723" s="1" t="str">
        <f t="shared" si="68"/>
        <v>Very Slow</v>
      </c>
      <c r="W723" s="1" t="str">
        <f t="shared" si="69"/>
        <v>OK</v>
      </c>
    </row>
    <row r="724" spans="1:23">
      <c r="A724" s="1">
        <v>57342</v>
      </c>
      <c r="B724" s="10">
        <v>45999</v>
      </c>
      <c r="C724" s="1">
        <v>23</v>
      </c>
      <c r="D724" s="1" t="s">
        <v>57</v>
      </c>
      <c r="E724" s="1" t="s">
        <v>87</v>
      </c>
      <c r="F724" s="1" t="s">
        <v>64</v>
      </c>
      <c r="G724" s="1" t="s">
        <v>60</v>
      </c>
      <c r="H724" s="1" t="s">
        <v>61</v>
      </c>
      <c r="I724" s="1" t="s">
        <v>176</v>
      </c>
      <c r="J724" s="24">
        <v>3.84</v>
      </c>
      <c r="K724" s="24">
        <v>6.3</v>
      </c>
      <c r="L724" s="28">
        <v>2.46</v>
      </c>
      <c r="M724" s="1">
        <v>9</v>
      </c>
      <c r="N724" s="28">
        <v>56.7</v>
      </c>
      <c r="O724" s="29">
        <v>0.01</v>
      </c>
      <c r="P724" s="28">
        <v>0.56699999999999995</v>
      </c>
      <c r="Q724" s="28">
        <v>56.133000000000003</v>
      </c>
      <c r="R724" s="1" t="str">
        <f t="shared" si="66"/>
        <v>Dec</v>
      </c>
      <c r="S724" s="28">
        <f t="shared" si="70"/>
        <v>34.56</v>
      </c>
      <c r="T724" s="28">
        <f t="shared" si="71"/>
        <v>21.573</v>
      </c>
      <c r="U724" s="11">
        <f t="shared" si="67"/>
        <v>0.38431938431938428</v>
      </c>
      <c r="V724" s="1" t="str">
        <f t="shared" si="68"/>
        <v>Very Slow</v>
      </c>
      <c r="W724" s="1" t="str">
        <f t="shared" si="69"/>
        <v>OK</v>
      </c>
    </row>
    <row r="725" spans="1:23">
      <c r="A725" s="1">
        <v>57343</v>
      </c>
      <c r="B725" s="10">
        <v>46000</v>
      </c>
      <c r="C725" s="1">
        <v>7</v>
      </c>
      <c r="D725" s="1" t="s">
        <v>78</v>
      </c>
      <c r="E725" s="1" t="s">
        <v>67</v>
      </c>
      <c r="F725" s="1" t="s">
        <v>73</v>
      </c>
      <c r="G725" s="1" t="s">
        <v>60</v>
      </c>
      <c r="H725" s="1" t="s">
        <v>65</v>
      </c>
      <c r="I725" s="1" t="s">
        <v>173</v>
      </c>
      <c r="J725" s="24">
        <v>5.19</v>
      </c>
      <c r="K725" s="24">
        <v>12.98</v>
      </c>
      <c r="L725" s="28">
        <v>7.79</v>
      </c>
      <c r="M725" s="1">
        <v>48</v>
      </c>
      <c r="N725" s="28">
        <v>623.04</v>
      </c>
      <c r="O725" s="29">
        <v>0.09</v>
      </c>
      <c r="P725" s="28">
        <v>56.073599999999992</v>
      </c>
      <c r="Q725" s="28">
        <v>566.96640000000002</v>
      </c>
      <c r="R725" s="1" t="str">
        <f t="shared" si="66"/>
        <v>Dec</v>
      </c>
      <c r="S725" s="28">
        <f t="shared" si="70"/>
        <v>249.12</v>
      </c>
      <c r="T725" s="28">
        <f t="shared" si="71"/>
        <v>317.84640000000002</v>
      </c>
      <c r="U725" s="11">
        <f t="shared" si="67"/>
        <v>0.56060888264278097</v>
      </c>
      <c r="V725" s="1" t="str">
        <f t="shared" si="68"/>
        <v>Standard</v>
      </c>
      <c r="W725" s="1" t="str">
        <f t="shared" si="69"/>
        <v>OK</v>
      </c>
    </row>
    <row r="726" spans="1:23">
      <c r="A726" s="1">
        <v>57344</v>
      </c>
      <c r="B726" s="10">
        <v>46000</v>
      </c>
      <c r="C726" s="1">
        <v>9</v>
      </c>
      <c r="D726" s="1" t="s">
        <v>78</v>
      </c>
      <c r="E726" s="1" t="s">
        <v>72</v>
      </c>
      <c r="F726" s="1" t="s">
        <v>96</v>
      </c>
      <c r="G726" s="1" t="s">
        <v>60</v>
      </c>
      <c r="H726" s="1" t="s">
        <v>70</v>
      </c>
      <c r="I726" s="1" t="s">
        <v>182</v>
      </c>
      <c r="J726" s="24">
        <v>1.19</v>
      </c>
      <c r="K726" s="24">
        <v>1.98</v>
      </c>
      <c r="L726" s="28">
        <v>0.79</v>
      </c>
      <c r="M726" s="1">
        <v>4</v>
      </c>
      <c r="N726" s="28">
        <v>7.92</v>
      </c>
      <c r="O726" s="29">
        <v>0.08</v>
      </c>
      <c r="P726" s="28">
        <v>0.63360000000000005</v>
      </c>
      <c r="Q726" s="28">
        <v>7.2864000000000004</v>
      </c>
      <c r="R726" s="1" t="str">
        <f t="shared" si="66"/>
        <v>Dec</v>
      </c>
      <c r="S726" s="28">
        <f t="shared" si="70"/>
        <v>4.76</v>
      </c>
      <c r="T726" s="28">
        <f t="shared" si="71"/>
        <v>2.5264000000000006</v>
      </c>
      <c r="U726" s="11">
        <f t="shared" si="67"/>
        <v>0.34672815107597721</v>
      </c>
      <c r="V726" s="1" t="str">
        <f t="shared" si="68"/>
        <v>Slow</v>
      </c>
      <c r="W726" s="1" t="str">
        <f t="shared" si="69"/>
        <v>OK</v>
      </c>
    </row>
    <row r="727" spans="1:23">
      <c r="A727" s="1">
        <v>57345</v>
      </c>
      <c r="B727" s="10">
        <v>46000</v>
      </c>
      <c r="C727" s="1">
        <v>15</v>
      </c>
      <c r="D727" s="1" t="s">
        <v>63</v>
      </c>
      <c r="E727" s="1" t="s">
        <v>72</v>
      </c>
      <c r="F727" s="1" t="s">
        <v>64</v>
      </c>
      <c r="G727" s="1" t="s">
        <v>60</v>
      </c>
      <c r="H727" s="1" t="s">
        <v>90</v>
      </c>
      <c r="I727" s="1" t="s">
        <v>80</v>
      </c>
      <c r="J727" s="24">
        <v>4.46</v>
      </c>
      <c r="K727" s="24">
        <v>10.89</v>
      </c>
      <c r="L727" s="28">
        <v>6.4300000000000006</v>
      </c>
      <c r="M727" s="1">
        <v>4</v>
      </c>
      <c r="N727" s="28">
        <v>43.56</v>
      </c>
      <c r="O727" s="29">
        <v>0.05</v>
      </c>
      <c r="P727" s="28">
        <v>2.1779999999999999</v>
      </c>
      <c r="Q727" s="28">
        <v>41.382000000000012</v>
      </c>
      <c r="R727" s="1" t="str">
        <f t="shared" si="66"/>
        <v>Dec</v>
      </c>
      <c r="S727" s="28">
        <f t="shared" si="70"/>
        <v>17.84</v>
      </c>
      <c r="T727" s="28">
        <f t="shared" si="71"/>
        <v>23.542000000000012</v>
      </c>
      <c r="U727" s="11">
        <f t="shared" si="67"/>
        <v>0.56889468851191349</v>
      </c>
      <c r="V727" s="1" t="str">
        <f t="shared" si="68"/>
        <v>Very Slow</v>
      </c>
      <c r="W727" s="1" t="str">
        <f t="shared" si="69"/>
        <v>OK</v>
      </c>
    </row>
    <row r="728" spans="1:23">
      <c r="A728" s="1">
        <v>57346</v>
      </c>
      <c r="B728" s="10">
        <v>46001</v>
      </c>
      <c r="C728" s="1">
        <v>15</v>
      </c>
      <c r="D728" s="1" t="s">
        <v>63</v>
      </c>
      <c r="E728" s="1" t="s">
        <v>67</v>
      </c>
      <c r="F728" s="1" t="s">
        <v>75</v>
      </c>
      <c r="G728" s="1" t="s">
        <v>60</v>
      </c>
      <c r="H728" s="1" t="s">
        <v>61</v>
      </c>
      <c r="I728" s="1" t="s">
        <v>187</v>
      </c>
      <c r="J728" s="24">
        <v>2.2599999999999998</v>
      </c>
      <c r="K728" s="24">
        <v>3.58</v>
      </c>
      <c r="L728" s="28">
        <v>1.32</v>
      </c>
      <c r="M728" s="1">
        <v>40</v>
      </c>
      <c r="N728" s="28">
        <v>143.19999999999999</v>
      </c>
      <c r="O728" s="29">
        <v>7.0000000000000007E-2</v>
      </c>
      <c r="P728" s="28">
        <v>10.023999999999999</v>
      </c>
      <c r="Q728" s="28">
        <v>133.17599999999999</v>
      </c>
      <c r="R728" s="1" t="str">
        <f t="shared" si="66"/>
        <v>Dec</v>
      </c>
      <c r="S728" s="28">
        <f t="shared" si="70"/>
        <v>90.399999999999991</v>
      </c>
      <c r="T728" s="28">
        <f t="shared" si="71"/>
        <v>42.775999999999996</v>
      </c>
      <c r="U728" s="11">
        <f t="shared" si="67"/>
        <v>0.32119901483750823</v>
      </c>
      <c r="V728" s="1" t="str">
        <f t="shared" si="68"/>
        <v>Very Slow</v>
      </c>
      <c r="W728" s="1" t="str">
        <f t="shared" si="69"/>
        <v>OK</v>
      </c>
    </row>
    <row r="729" spans="1:23">
      <c r="A729" s="1">
        <v>57347</v>
      </c>
      <c r="B729" s="10">
        <v>46001</v>
      </c>
      <c r="C729" s="1">
        <v>5</v>
      </c>
      <c r="D729" s="1" t="s">
        <v>78</v>
      </c>
      <c r="E729" s="1" t="s">
        <v>72</v>
      </c>
      <c r="F729" s="1" t="s">
        <v>18</v>
      </c>
      <c r="G729" s="1" t="s">
        <v>60</v>
      </c>
      <c r="H729" s="1" t="s">
        <v>68</v>
      </c>
      <c r="I729" s="1" t="s">
        <v>209</v>
      </c>
      <c r="J729" s="24">
        <v>2.13</v>
      </c>
      <c r="K729" s="24">
        <v>3.49</v>
      </c>
      <c r="L729" s="28">
        <v>1.36</v>
      </c>
      <c r="M729" s="1">
        <v>3</v>
      </c>
      <c r="N729" s="28">
        <v>10.47</v>
      </c>
      <c r="O729" s="29">
        <v>0.01</v>
      </c>
      <c r="P729" s="28">
        <v>0.1047</v>
      </c>
      <c r="Q729" s="28">
        <v>10.3653</v>
      </c>
      <c r="R729" s="1" t="str">
        <f t="shared" si="66"/>
        <v>Dec</v>
      </c>
      <c r="S729" s="28">
        <f t="shared" si="70"/>
        <v>6.39</v>
      </c>
      <c r="T729" s="28">
        <f t="shared" si="71"/>
        <v>3.9752999999999998</v>
      </c>
      <c r="U729" s="11">
        <f t="shared" si="67"/>
        <v>0.38352001389250673</v>
      </c>
      <c r="V729" s="1" t="str">
        <f t="shared" si="68"/>
        <v>Standard</v>
      </c>
      <c r="W729" s="1" t="str">
        <f t="shared" si="69"/>
        <v>OK</v>
      </c>
    </row>
    <row r="730" spans="1:23">
      <c r="A730" s="1">
        <v>57348</v>
      </c>
      <c r="B730" s="10">
        <v>46001</v>
      </c>
      <c r="C730" s="1">
        <v>8</v>
      </c>
      <c r="D730" s="1" t="s">
        <v>57</v>
      </c>
      <c r="E730" s="1" t="s">
        <v>72</v>
      </c>
      <c r="F730" s="1" t="s">
        <v>84</v>
      </c>
      <c r="G730" s="1" t="s">
        <v>60</v>
      </c>
      <c r="H730" s="1" t="s">
        <v>90</v>
      </c>
      <c r="I730" s="1" t="s">
        <v>123</v>
      </c>
      <c r="J730" s="24">
        <v>1.18</v>
      </c>
      <c r="K730" s="24">
        <v>1.88</v>
      </c>
      <c r="L730" s="28">
        <v>0.7</v>
      </c>
      <c r="M730" s="1">
        <v>7</v>
      </c>
      <c r="N730" s="28">
        <v>13.16</v>
      </c>
      <c r="O730" s="29">
        <v>7.0000000000000007E-2</v>
      </c>
      <c r="P730" s="28">
        <v>0.92120000000000013</v>
      </c>
      <c r="Q730" s="28">
        <v>12.238799999999999</v>
      </c>
      <c r="R730" s="1" t="str">
        <f t="shared" si="66"/>
        <v>Dec</v>
      </c>
      <c r="S730" s="28">
        <f t="shared" si="70"/>
        <v>8.26</v>
      </c>
      <c r="T730" s="28">
        <f t="shared" si="71"/>
        <v>3.9787999999999997</v>
      </c>
      <c r="U730" s="11">
        <f t="shared" si="67"/>
        <v>0.3250972317547472</v>
      </c>
      <c r="V730" s="1" t="str">
        <f t="shared" si="68"/>
        <v>Slow</v>
      </c>
      <c r="W730" s="1" t="str">
        <f t="shared" si="69"/>
        <v>OK</v>
      </c>
    </row>
    <row r="731" spans="1:23">
      <c r="A731" s="1">
        <v>57349</v>
      </c>
      <c r="B731" s="10">
        <v>46001</v>
      </c>
      <c r="C731" s="1">
        <v>11</v>
      </c>
      <c r="D731" s="1" t="s">
        <v>78</v>
      </c>
      <c r="E731" s="1" t="s">
        <v>67</v>
      </c>
      <c r="F731" s="1" t="s">
        <v>59</v>
      </c>
      <c r="G731" s="1" t="s">
        <v>81</v>
      </c>
      <c r="H731" s="1" t="s">
        <v>61</v>
      </c>
      <c r="I731" s="1" t="s">
        <v>113</v>
      </c>
      <c r="J731" s="24">
        <v>8.31</v>
      </c>
      <c r="K731" s="24">
        <v>15.98</v>
      </c>
      <c r="L731" s="28">
        <v>7.67</v>
      </c>
      <c r="M731" s="1">
        <v>36</v>
      </c>
      <c r="N731" s="28">
        <v>575.28</v>
      </c>
      <c r="O731" s="29">
        <v>0.1</v>
      </c>
      <c r="P731" s="28">
        <v>57.527999999999999</v>
      </c>
      <c r="Q731" s="28">
        <v>517.75199999999995</v>
      </c>
      <c r="R731" s="1" t="str">
        <f t="shared" si="66"/>
        <v>Dec</v>
      </c>
      <c r="S731" s="28">
        <f t="shared" si="70"/>
        <v>299.16000000000003</v>
      </c>
      <c r="T731" s="28">
        <f t="shared" si="71"/>
        <v>218.59199999999993</v>
      </c>
      <c r="U731" s="11">
        <f t="shared" si="67"/>
        <v>0.42219440967876504</v>
      </c>
      <c r="V731" s="1" t="str">
        <f t="shared" si="68"/>
        <v>Slow</v>
      </c>
      <c r="W731" s="1" t="str">
        <f t="shared" si="69"/>
        <v>OK</v>
      </c>
    </row>
    <row r="732" spans="1:23">
      <c r="A732" s="1">
        <v>57350</v>
      </c>
      <c r="B732" s="10">
        <v>46002</v>
      </c>
      <c r="C732" s="1">
        <v>9</v>
      </c>
      <c r="D732" s="1" t="s">
        <v>63</v>
      </c>
      <c r="E732" s="1" t="s">
        <v>72</v>
      </c>
      <c r="F732" s="1" t="s">
        <v>100</v>
      </c>
      <c r="G732" s="1" t="s">
        <v>60</v>
      </c>
      <c r="H732" s="1" t="s">
        <v>61</v>
      </c>
      <c r="I732" s="1" t="s">
        <v>177</v>
      </c>
      <c r="J732" s="24">
        <v>4.4800000000000004</v>
      </c>
      <c r="K732" s="24">
        <v>8.14</v>
      </c>
      <c r="L732" s="28">
        <v>3.66</v>
      </c>
      <c r="M732" s="1">
        <v>53</v>
      </c>
      <c r="N732" s="28">
        <v>431.42</v>
      </c>
      <c r="O732" s="29">
        <v>0</v>
      </c>
      <c r="P732" s="28">
        <v>0</v>
      </c>
      <c r="Q732" s="28">
        <v>431.42</v>
      </c>
      <c r="R732" s="1" t="str">
        <f t="shared" si="66"/>
        <v>Dec</v>
      </c>
      <c r="S732" s="28">
        <f t="shared" si="70"/>
        <v>237.44000000000003</v>
      </c>
      <c r="T732" s="28">
        <f t="shared" si="71"/>
        <v>193.98</v>
      </c>
      <c r="U732" s="11">
        <f t="shared" si="67"/>
        <v>0.44963144963144958</v>
      </c>
      <c r="V732" s="1" t="str">
        <f t="shared" si="68"/>
        <v>Slow</v>
      </c>
      <c r="W732" s="1" t="str">
        <f t="shared" si="69"/>
        <v>OK</v>
      </c>
    </row>
    <row r="733" spans="1:23">
      <c r="A733" s="1">
        <v>57351</v>
      </c>
      <c r="B733" s="10">
        <v>46002</v>
      </c>
      <c r="C733" s="1">
        <v>14</v>
      </c>
      <c r="D733" s="1" t="s">
        <v>63</v>
      </c>
      <c r="E733" s="1" t="s">
        <v>72</v>
      </c>
      <c r="F733" s="1" t="s">
        <v>64</v>
      </c>
      <c r="G733" s="1" t="s">
        <v>60</v>
      </c>
      <c r="H733" s="1" t="s">
        <v>68</v>
      </c>
      <c r="I733" s="1" t="s">
        <v>175</v>
      </c>
      <c r="J733" s="24">
        <v>4.79</v>
      </c>
      <c r="K733" s="24">
        <v>11.97</v>
      </c>
      <c r="L733" s="28">
        <v>7.1800000000000006</v>
      </c>
      <c r="M733" s="1">
        <v>10</v>
      </c>
      <c r="N733" s="28">
        <v>119.7</v>
      </c>
      <c r="O733" s="29">
        <v>0.03</v>
      </c>
      <c r="P733" s="28">
        <v>3.5910000000000002</v>
      </c>
      <c r="Q733" s="28">
        <v>116.10899999999999</v>
      </c>
      <c r="R733" s="1" t="str">
        <f t="shared" si="66"/>
        <v>Dec</v>
      </c>
      <c r="S733" s="28">
        <f t="shared" si="70"/>
        <v>47.9</v>
      </c>
      <c r="T733" s="28">
        <f t="shared" si="71"/>
        <v>68.209000000000003</v>
      </c>
      <c r="U733" s="11">
        <f t="shared" si="67"/>
        <v>0.58745661404370042</v>
      </c>
      <c r="V733" s="1" t="str">
        <f t="shared" si="68"/>
        <v>Slow</v>
      </c>
      <c r="W733" s="1" t="str">
        <f t="shared" si="69"/>
        <v>OK</v>
      </c>
    </row>
    <row r="734" spans="1:23">
      <c r="A734" s="1">
        <v>57352</v>
      </c>
      <c r="B734" s="10">
        <v>46003</v>
      </c>
      <c r="C734" s="1">
        <v>9</v>
      </c>
      <c r="D734" s="1" t="s">
        <v>78</v>
      </c>
      <c r="E734" s="1" t="s">
        <v>72</v>
      </c>
      <c r="F734" s="1" t="s">
        <v>88</v>
      </c>
      <c r="G734" s="1" t="s">
        <v>60</v>
      </c>
      <c r="H734" s="1" t="s">
        <v>61</v>
      </c>
      <c r="I734" s="1" t="s">
        <v>152</v>
      </c>
      <c r="J734" s="24">
        <v>1.59</v>
      </c>
      <c r="K734" s="24">
        <v>2.61</v>
      </c>
      <c r="L734" s="28">
        <v>1.02</v>
      </c>
      <c r="M734" s="1">
        <v>44</v>
      </c>
      <c r="N734" s="28">
        <v>114.84</v>
      </c>
      <c r="O734" s="29">
        <v>7.0000000000000007E-2</v>
      </c>
      <c r="P734" s="28">
        <v>8.0388000000000002</v>
      </c>
      <c r="Q734" s="28">
        <v>106.80119999999999</v>
      </c>
      <c r="R734" s="1" t="str">
        <f t="shared" si="66"/>
        <v>Dec</v>
      </c>
      <c r="S734" s="28">
        <f t="shared" si="70"/>
        <v>69.960000000000008</v>
      </c>
      <c r="T734" s="28">
        <f t="shared" si="71"/>
        <v>36.841199999999986</v>
      </c>
      <c r="U734" s="11">
        <f t="shared" si="67"/>
        <v>0.3449511803238165</v>
      </c>
      <c r="V734" s="1" t="str">
        <f t="shared" si="68"/>
        <v>Slow</v>
      </c>
      <c r="W734" s="1" t="str">
        <f t="shared" si="69"/>
        <v>OK</v>
      </c>
    </row>
    <row r="735" spans="1:23">
      <c r="A735" s="1">
        <v>57353</v>
      </c>
      <c r="B735" s="10">
        <v>46003</v>
      </c>
      <c r="C735" s="1">
        <v>2</v>
      </c>
      <c r="D735" s="1" t="s">
        <v>78</v>
      </c>
      <c r="E735" s="1" t="s">
        <v>87</v>
      </c>
      <c r="F735" s="1" t="s">
        <v>64</v>
      </c>
      <c r="G735" s="1" t="s">
        <v>60</v>
      </c>
      <c r="H735" s="1" t="s">
        <v>90</v>
      </c>
      <c r="I735" s="1" t="s">
        <v>168</v>
      </c>
      <c r="J735" s="24">
        <v>3.4</v>
      </c>
      <c r="K735" s="24">
        <v>5.4</v>
      </c>
      <c r="L735" s="28">
        <v>2</v>
      </c>
      <c r="M735" s="1">
        <v>20</v>
      </c>
      <c r="N735" s="28">
        <v>108</v>
      </c>
      <c r="O735" s="29">
        <v>0.1</v>
      </c>
      <c r="P735" s="28">
        <v>10.8</v>
      </c>
      <c r="Q735" s="28">
        <v>97.2</v>
      </c>
      <c r="R735" s="1" t="str">
        <f t="shared" si="66"/>
        <v>Dec</v>
      </c>
      <c r="S735" s="28">
        <f t="shared" si="70"/>
        <v>68</v>
      </c>
      <c r="T735" s="28">
        <f t="shared" si="71"/>
        <v>29.200000000000003</v>
      </c>
      <c r="U735" s="11">
        <f t="shared" si="67"/>
        <v>0.30041152263374488</v>
      </c>
      <c r="V735" s="1" t="str">
        <f t="shared" si="68"/>
        <v>Fast</v>
      </c>
      <c r="W735" s="1" t="str">
        <f t="shared" si="69"/>
        <v>OK</v>
      </c>
    </row>
    <row r="736" spans="1:23">
      <c r="A736" s="1">
        <v>57354</v>
      </c>
      <c r="B736" s="10">
        <v>46004</v>
      </c>
      <c r="C736" s="1">
        <v>7</v>
      </c>
      <c r="D736" s="1" t="s">
        <v>57</v>
      </c>
      <c r="E736" s="1" t="s">
        <v>58</v>
      </c>
      <c r="F736" s="1" t="s">
        <v>18</v>
      </c>
      <c r="G736" s="1" t="s">
        <v>81</v>
      </c>
      <c r="H736" s="1" t="s">
        <v>65</v>
      </c>
      <c r="I736" s="1" t="s">
        <v>150</v>
      </c>
      <c r="J736" s="24">
        <v>8.82</v>
      </c>
      <c r="K736" s="24">
        <v>20.99</v>
      </c>
      <c r="L736" s="28">
        <v>12.17</v>
      </c>
      <c r="M736" s="1">
        <v>18</v>
      </c>
      <c r="N736" s="28">
        <v>377.82</v>
      </c>
      <c r="O736" s="29">
        <v>0</v>
      </c>
      <c r="P736" s="28">
        <v>0</v>
      </c>
      <c r="Q736" s="28">
        <v>377.82</v>
      </c>
      <c r="R736" s="1" t="str">
        <f t="shared" si="66"/>
        <v>Dec</v>
      </c>
      <c r="S736" s="28">
        <f t="shared" si="70"/>
        <v>158.76</v>
      </c>
      <c r="T736" s="28">
        <f t="shared" si="71"/>
        <v>219.06</v>
      </c>
      <c r="U736" s="11">
        <f t="shared" si="67"/>
        <v>0.57979990471653164</v>
      </c>
      <c r="V736" s="1" t="str">
        <f t="shared" si="68"/>
        <v>Standard</v>
      </c>
      <c r="W736" s="1" t="str">
        <f t="shared" si="69"/>
        <v>OK</v>
      </c>
    </row>
    <row r="737" spans="1:23">
      <c r="A737" s="1">
        <v>57355</v>
      </c>
      <c r="B737" s="10">
        <v>46004</v>
      </c>
      <c r="C737" s="1">
        <v>20</v>
      </c>
      <c r="D737" s="1" t="s">
        <v>57</v>
      </c>
      <c r="E737" s="1" t="s">
        <v>67</v>
      </c>
      <c r="F737" s="1" t="s">
        <v>64</v>
      </c>
      <c r="G737" s="1" t="s">
        <v>85</v>
      </c>
      <c r="H737" s="1" t="s">
        <v>70</v>
      </c>
      <c r="I737" s="1" t="s">
        <v>170</v>
      </c>
      <c r="J737" s="24">
        <v>56.16</v>
      </c>
      <c r="K737" s="24">
        <v>136.97999999999999</v>
      </c>
      <c r="L737" s="28">
        <v>80.819999999999993</v>
      </c>
      <c r="M737" s="1">
        <v>4</v>
      </c>
      <c r="N737" s="28">
        <v>547.91999999999996</v>
      </c>
      <c r="O737" s="29">
        <v>0.1</v>
      </c>
      <c r="P737" s="28">
        <v>54.792000000000002</v>
      </c>
      <c r="Q737" s="28">
        <v>493.12799999999987</v>
      </c>
      <c r="R737" s="1" t="str">
        <f t="shared" si="66"/>
        <v>Dec</v>
      </c>
      <c r="S737" s="28">
        <f t="shared" si="70"/>
        <v>224.64</v>
      </c>
      <c r="T737" s="28">
        <f t="shared" si="71"/>
        <v>268.48799999999989</v>
      </c>
      <c r="U737" s="11">
        <f t="shared" si="67"/>
        <v>0.54445904511607524</v>
      </c>
      <c r="V737" s="1" t="str">
        <f t="shared" si="68"/>
        <v>Very Slow</v>
      </c>
      <c r="W737" s="1" t="str">
        <f t="shared" si="69"/>
        <v>OK</v>
      </c>
    </row>
    <row r="738" spans="1:23">
      <c r="A738" s="1">
        <v>57356</v>
      </c>
      <c r="B738" s="10">
        <v>46004</v>
      </c>
      <c r="C738" s="1">
        <v>2</v>
      </c>
      <c r="D738" s="1" t="s">
        <v>78</v>
      </c>
      <c r="E738" s="1" t="s">
        <v>87</v>
      </c>
      <c r="F738" s="1" t="s">
        <v>88</v>
      </c>
      <c r="G738" s="1" t="s">
        <v>60</v>
      </c>
      <c r="H738" s="1" t="s">
        <v>68</v>
      </c>
      <c r="I738" s="1" t="s">
        <v>194</v>
      </c>
      <c r="J738" s="24">
        <v>1.84</v>
      </c>
      <c r="K738" s="24">
        <v>2.88</v>
      </c>
      <c r="L738" s="28">
        <v>1.04</v>
      </c>
      <c r="M738" s="1">
        <v>29</v>
      </c>
      <c r="N738" s="28">
        <v>83.52</v>
      </c>
      <c r="O738" s="29">
        <v>0.01</v>
      </c>
      <c r="P738" s="28">
        <v>0.83519999999999994</v>
      </c>
      <c r="Q738" s="28">
        <v>82.684799999999996</v>
      </c>
      <c r="R738" s="1" t="str">
        <f t="shared" si="66"/>
        <v>Dec</v>
      </c>
      <c r="S738" s="28">
        <f t="shared" si="70"/>
        <v>53.36</v>
      </c>
      <c r="T738" s="28">
        <f t="shared" si="71"/>
        <v>29.324799999999996</v>
      </c>
      <c r="U738" s="11">
        <f t="shared" si="67"/>
        <v>0.35465768799102132</v>
      </c>
      <c r="V738" s="1" t="str">
        <f t="shared" si="68"/>
        <v>Fast</v>
      </c>
      <c r="W738" s="1" t="str">
        <f t="shared" si="69"/>
        <v>OK</v>
      </c>
    </row>
    <row r="739" spans="1:23">
      <c r="A739" s="1">
        <v>57357</v>
      </c>
      <c r="B739" s="10">
        <v>46004</v>
      </c>
      <c r="C739" s="1">
        <v>1</v>
      </c>
      <c r="D739" s="1" t="s">
        <v>63</v>
      </c>
      <c r="E739" s="1" t="s">
        <v>87</v>
      </c>
      <c r="F739" s="1" t="s">
        <v>64</v>
      </c>
      <c r="G739" s="1" t="s">
        <v>60</v>
      </c>
      <c r="H739" s="1" t="s">
        <v>65</v>
      </c>
      <c r="I739" s="1" t="s">
        <v>157</v>
      </c>
      <c r="J739" s="24">
        <v>4.53</v>
      </c>
      <c r="K739" s="24">
        <v>7.3</v>
      </c>
      <c r="L739" s="28">
        <v>2.77</v>
      </c>
      <c r="M739" s="1">
        <v>41</v>
      </c>
      <c r="N739" s="28">
        <v>299.3</v>
      </c>
      <c r="O739" s="29">
        <v>0.03</v>
      </c>
      <c r="P739" s="28">
        <v>8.9789999999999992</v>
      </c>
      <c r="Q739" s="28">
        <v>290.32100000000003</v>
      </c>
      <c r="R739" s="1" t="str">
        <f t="shared" si="66"/>
        <v>Dec</v>
      </c>
      <c r="S739" s="28">
        <f t="shared" si="70"/>
        <v>185.73000000000002</v>
      </c>
      <c r="T739" s="28">
        <f t="shared" si="71"/>
        <v>104.59100000000001</v>
      </c>
      <c r="U739" s="11">
        <f t="shared" si="67"/>
        <v>0.36025985030362945</v>
      </c>
      <c r="V739" s="1" t="str">
        <f t="shared" si="68"/>
        <v>Fast</v>
      </c>
      <c r="W739" s="1" t="str">
        <f t="shared" si="69"/>
        <v>OK</v>
      </c>
    </row>
    <row r="740" spans="1:23">
      <c r="A740" s="1">
        <v>57358</v>
      </c>
      <c r="B740" s="10">
        <v>46004</v>
      </c>
      <c r="C740" s="1">
        <v>5</v>
      </c>
      <c r="D740" s="1" t="s">
        <v>57</v>
      </c>
      <c r="E740" s="1" t="s">
        <v>58</v>
      </c>
      <c r="F740" s="1" t="s">
        <v>79</v>
      </c>
      <c r="G740" s="1" t="s">
        <v>60</v>
      </c>
      <c r="H740" s="1" t="s">
        <v>90</v>
      </c>
      <c r="I740" s="1" t="s">
        <v>124</v>
      </c>
      <c r="J740" s="24">
        <v>2.25</v>
      </c>
      <c r="K740" s="24">
        <v>3.69</v>
      </c>
      <c r="L740" s="28">
        <v>1.44</v>
      </c>
      <c r="M740" s="1">
        <v>43</v>
      </c>
      <c r="N740" s="28">
        <v>158.66999999999999</v>
      </c>
      <c r="O740" s="29">
        <v>0</v>
      </c>
      <c r="P740" s="28">
        <v>0</v>
      </c>
      <c r="Q740" s="28">
        <v>158.66999999999999</v>
      </c>
      <c r="R740" s="1" t="str">
        <f t="shared" si="66"/>
        <v>Dec</v>
      </c>
      <c r="S740" s="28">
        <f t="shared" si="70"/>
        <v>96.75</v>
      </c>
      <c r="T740" s="28">
        <f t="shared" si="71"/>
        <v>61.919999999999987</v>
      </c>
      <c r="U740" s="11">
        <f t="shared" si="67"/>
        <v>0.39024390243902435</v>
      </c>
      <c r="V740" s="1" t="str">
        <f t="shared" si="68"/>
        <v>Standard</v>
      </c>
      <c r="W740" s="1" t="str">
        <f t="shared" si="69"/>
        <v>OK</v>
      </c>
    </row>
    <row r="741" spans="1:23">
      <c r="A741" s="1">
        <v>57359</v>
      </c>
      <c r="B741" s="10">
        <v>46004</v>
      </c>
      <c r="C741" s="1">
        <v>5</v>
      </c>
      <c r="D741" s="1" t="s">
        <v>57</v>
      </c>
      <c r="E741" s="1" t="s">
        <v>72</v>
      </c>
      <c r="F741" s="1" t="s">
        <v>75</v>
      </c>
      <c r="G741" s="1" t="s">
        <v>60</v>
      </c>
      <c r="H741" s="1" t="s">
        <v>61</v>
      </c>
      <c r="I741" s="1" t="s">
        <v>109</v>
      </c>
      <c r="J741" s="24">
        <v>8.92</v>
      </c>
      <c r="K741" s="24">
        <v>29.74</v>
      </c>
      <c r="L741" s="28">
        <v>20.82</v>
      </c>
      <c r="M741" s="1">
        <v>19</v>
      </c>
      <c r="N741" s="28">
        <v>565.05999999999995</v>
      </c>
      <c r="O741" s="29">
        <v>0.1</v>
      </c>
      <c r="P741" s="28">
        <v>56.506</v>
      </c>
      <c r="Q741" s="28">
        <v>508.55399999999997</v>
      </c>
      <c r="R741" s="1" t="str">
        <f t="shared" si="66"/>
        <v>Dec</v>
      </c>
      <c r="S741" s="28">
        <f t="shared" si="70"/>
        <v>169.48</v>
      </c>
      <c r="T741" s="28">
        <f t="shared" si="71"/>
        <v>339.07399999999996</v>
      </c>
      <c r="U741" s="11">
        <f t="shared" si="67"/>
        <v>0.6667413883284764</v>
      </c>
      <c r="V741" s="1" t="str">
        <f t="shared" si="68"/>
        <v>Standard</v>
      </c>
      <c r="W741" s="1" t="str">
        <f t="shared" si="69"/>
        <v>OK</v>
      </c>
    </row>
    <row r="742" spans="1:23">
      <c r="A742" s="1">
        <v>57360</v>
      </c>
      <c r="B742" s="10">
        <v>46006</v>
      </c>
      <c r="C742" s="1">
        <v>11</v>
      </c>
      <c r="D742" s="1" t="s">
        <v>78</v>
      </c>
      <c r="E742" s="1" t="s">
        <v>67</v>
      </c>
      <c r="F742" s="1" t="s">
        <v>64</v>
      </c>
      <c r="G742" s="1" t="s">
        <v>60</v>
      </c>
      <c r="H742" s="1" t="s">
        <v>65</v>
      </c>
      <c r="I742" s="1" t="s">
        <v>152</v>
      </c>
      <c r="J742" s="24">
        <v>1.59</v>
      </c>
      <c r="K742" s="24">
        <v>2.61</v>
      </c>
      <c r="L742" s="28">
        <v>1.02</v>
      </c>
      <c r="M742" s="1">
        <v>27</v>
      </c>
      <c r="N742" s="28">
        <v>70.47</v>
      </c>
      <c r="O742" s="29">
        <v>0.04</v>
      </c>
      <c r="P742" s="28">
        <v>2.8188</v>
      </c>
      <c r="Q742" s="28">
        <v>67.651200000000003</v>
      </c>
      <c r="R742" s="1" t="str">
        <f t="shared" si="66"/>
        <v>Dec</v>
      </c>
      <c r="S742" s="28">
        <f t="shared" si="70"/>
        <v>42.93</v>
      </c>
      <c r="T742" s="28">
        <f t="shared" si="71"/>
        <v>24.721200000000003</v>
      </c>
      <c r="U742" s="11">
        <f t="shared" si="67"/>
        <v>0.36542145593869735</v>
      </c>
      <c r="V742" s="1" t="str">
        <f t="shared" si="68"/>
        <v>Slow</v>
      </c>
      <c r="W742" s="1" t="str">
        <f t="shared" si="69"/>
        <v>OK</v>
      </c>
    </row>
    <row r="743" spans="1:23">
      <c r="A743" s="1">
        <v>57361</v>
      </c>
      <c r="B743" s="10">
        <v>46006</v>
      </c>
      <c r="C743" s="1">
        <v>5</v>
      </c>
      <c r="D743" s="1" t="s">
        <v>57</v>
      </c>
      <c r="E743" s="1" t="s">
        <v>87</v>
      </c>
      <c r="F743" s="1" t="s">
        <v>75</v>
      </c>
      <c r="G743" s="1" t="s">
        <v>60</v>
      </c>
      <c r="H743" s="1" t="s">
        <v>90</v>
      </c>
      <c r="I743" s="1" t="s">
        <v>167</v>
      </c>
      <c r="J743" s="24">
        <v>0.9</v>
      </c>
      <c r="K743" s="24">
        <v>2.1</v>
      </c>
      <c r="L743" s="28">
        <v>1.2</v>
      </c>
      <c r="M743" s="1">
        <v>40</v>
      </c>
      <c r="N743" s="28">
        <v>84</v>
      </c>
      <c r="O743" s="29">
        <v>0.05</v>
      </c>
      <c r="P743" s="28">
        <v>4.2</v>
      </c>
      <c r="Q743" s="28">
        <v>79.8</v>
      </c>
      <c r="R743" s="1" t="str">
        <f t="shared" si="66"/>
        <v>Dec</v>
      </c>
      <c r="S743" s="28">
        <f t="shared" si="70"/>
        <v>36</v>
      </c>
      <c r="T743" s="28">
        <f t="shared" si="71"/>
        <v>43.8</v>
      </c>
      <c r="U743" s="11">
        <f t="shared" si="67"/>
        <v>0.54887218045112784</v>
      </c>
      <c r="V743" s="1" t="str">
        <f t="shared" si="68"/>
        <v>Standard</v>
      </c>
      <c r="W743" s="1" t="str">
        <f t="shared" si="69"/>
        <v>OK</v>
      </c>
    </row>
    <row r="744" spans="1:23">
      <c r="A744" s="1">
        <v>57362</v>
      </c>
      <c r="B744" s="10">
        <v>46007</v>
      </c>
      <c r="C744" s="1">
        <v>9</v>
      </c>
      <c r="D744" s="1" t="s">
        <v>78</v>
      </c>
      <c r="E744" s="1" t="s">
        <v>67</v>
      </c>
      <c r="F744" s="1" t="s">
        <v>73</v>
      </c>
      <c r="G744" s="1" t="s">
        <v>60</v>
      </c>
      <c r="H744" s="1" t="s">
        <v>68</v>
      </c>
      <c r="I744" s="1" t="s">
        <v>133</v>
      </c>
      <c r="J744" s="24">
        <v>3.65</v>
      </c>
      <c r="K744" s="24">
        <v>5.98</v>
      </c>
      <c r="L744" s="28">
        <v>2.330000000000001</v>
      </c>
      <c r="M744" s="1">
        <v>17</v>
      </c>
      <c r="N744" s="28">
        <v>101.66</v>
      </c>
      <c r="O744" s="29">
        <v>0.01</v>
      </c>
      <c r="P744" s="28">
        <v>1.0165999999999999</v>
      </c>
      <c r="Q744" s="28">
        <v>100.6434</v>
      </c>
      <c r="R744" s="1" t="str">
        <f t="shared" si="66"/>
        <v>Dec</v>
      </c>
      <c r="S744" s="28">
        <f t="shared" si="70"/>
        <v>62.05</v>
      </c>
      <c r="T744" s="28">
        <f t="shared" si="71"/>
        <v>38.593400000000003</v>
      </c>
      <c r="U744" s="11">
        <f t="shared" si="67"/>
        <v>0.38346677477112262</v>
      </c>
      <c r="V744" s="1" t="str">
        <f t="shared" si="68"/>
        <v>Slow</v>
      </c>
      <c r="W744" s="1" t="str">
        <f t="shared" si="69"/>
        <v>OK</v>
      </c>
    </row>
    <row r="745" spans="1:23">
      <c r="A745" s="1">
        <v>57363</v>
      </c>
      <c r="B745" s="10">
        <v>46008</v>
      </c>
      <c r="C745" s="1">
        <v>12</v>
      </c>
      <c r="D745" s="1" t="s">
        <v>57</v>
      </c>
      <c r="E745" s="1" t="s">
        <v>87</v>
      </c>
      <c r="F745" s="1" t="s">
        <v>64</v>
      </c>
      <c r="G745" s="1" t="s">
        <v>81</v>
      </c>
      <c r="H745" s="1" t="s">
        <v>68</v>
      </c>
      <c r="I745" s="1" t="s">
        <v>185</v>
      </c>
      <c r="J745" s="24">
        <v>54.52</v>
      </c>
      <c r="K745" s="24">
        <v>100.97</v>
      </c>
      <c r="L745" s="28">
        <v>46.45</v>
      </c>
      <c r="M745" s="1">
        <v>29</v>
      </c>
      <c r="N745" s="28">
        <v>2928.13</v>
      </c>
      <c r="O745" s="29">
        <v>0.05</v>
      </c>
      <c r="P745" s="28">
        <v>146.40649999999999</v>
      </c>
      <c r="Q745" s="28">
        <v>2781.7235000000001</v>
      </c>
      <c r="R745" s="1" t="str">
        <f t="shared" si="66"/>
        <v>Dec</v>
      </c>
      <c r="S745" s="28">
        <f t="shared" si="70"/>
        <v>1581.0800000000002</v>
      </c>
      <c r="T745" s="28">
        <f t="shared" si="71"/>
        <v>1200.6434999999999</v>
      </c>
      <c r="U745" s="11">
        <f t="shared" si="67"/>
        <v>0.43161856309586483</v>
      </c>
      <c r="V745" s="1" t="str">
        <f t="shared" si="68"/>
        <v>Slow</v>
      </c>
      <c r="W745" s="1" t="str">
        <f t="shared" si="69"/>
        <v>OK</v>
      </c>
    </row>
    <row r="746" spans="1:23">
      <c r="A746" s="1">
        <v>57364</v>
      </c>
      <c r="B746" s="10">
        <v>46008</v>
      </c>
      <c r="C746" s="1">
        <v>8</v>
      </c>
      <c r="D746" s="1" t="s">
        <v>78</v>
      </c>
      <c r="E746" s="1" t="s">
        <v>58</v>
      </c>
      <c r="F746" s="1" t="s">
        <v>64</v>
      </c>
      <c r="G746" s="1" t="s">
        <v>60</v>
      </c>
      <c r="H746" s="1" t="s">
        <v>68</v>
      </c>
      <c r="I746" s="1" t="s">
        <v>114</v>
      </c>
      <c r="J746" s="24">
        <v>2.59</v>
      </c>
      <c r="K746" s="24">
        <v>3.98</v>
      </c>
      <c r="L746" s="28">
        <v>1.39</v>
      </c>
      <c r="M746" s="1">
        <v>4</v>
      </c>
      <c r="N746" s="28">
        <v>15.92</v>
      </c>
      <c r="O746" s="29">
        <v>0.09</v>
      </c>
      <c r="P746" s="28">
        <v>1.4328000000000001</v>
      </c>
      <c r="Q746" s="28">
        <v>14.4872</v>
      </c>
      <c r="R746" s="1" t="str">
        <f t="shared" si="66"/>
        <v>Dec</v>
      </c>
      <c r="S746" s="28">
        <f t="shared" si="70"/>
        <v>10.36</v>
      </c>
      <c r="T746" s="28">
        <f t="shared" si="71"/>
        <v>4.1272000000000002</v>
      </c>
      <c r="U746" s="11">
        <f t="shared" si="67"/>
        <v>0.28488596830305374</v>
      </c>
      <c r="V746" s="1" t="str">
        <f t="shared" si="68"/>
        <v>Slow</v>
      </c>
      <c r="W746" s="1" t="str">
        <f t="shared" si="69"/>
        <v>OK</v>
      </c>
    </row>
    <row r="747" spans="1:23">
      <c r="A747" s="1">
        <v>57365</v>
      </c>
      <c r="B747" s="10">
        <v>46008</v>
      </c>
      <c r="C747" s="1">
        <v>21</v>
      </c>
      <c r="D747" s="1" t="s">
        <v>63</v>
      </c>
      <c r="E747" s="1" t="s">
        <v>67</v>
      </c>
      <c r="F747" s="1" t="s">
        <v>64</v>
      </c>
      <c r="G747" s="1" t="s">
        <v>81</v>
      </c>
      <c r="H747" s="1" t="s">
        <v>61</v>
      </c>
      <c r="I747" s="1" t="s">
        <v>227</v>
      </c>
      <c r="J747" s="24">
        <v>7.92</v>
      </c>
      <c r="K747" s="24">
        <v>12.99</v>
      </c>
      <c r="L747" s="28">
        <v>5.07</v>
      </c>
      <c r="M747" s="1">
        <v>44</v>
      </c>
      <c r="N747" s="28">
        <v>571.56000000000006</v>
      </c>
      <c r="O747" s="29">
        <v>0.01</v>
      </c>
      <c r="P747" s="28">
        <v>5.7156000000000011</v>
      </c>
      <c r="Q747" s="28">
        <v>565.84440000000006</v>
      </c>
      <c r="R747" s="1" t="str">
        <f t="shared" si="66"/>
        <v>Dec</v>
      </c>
      <c r="S747" s="28">
        <f t="shared" si="70"/>
        <v>348.48</v>
      </c>
      <c r="T747" s="28">
        <f t="shared" si="71"/>
        <v>217.36440000000005</v>
      </c>
      <c r="U747" s="11">
        <f t="shared" si="67"/>
        <v>0.38414164742109319</v>
      </c>
      <c r="V747" s="1" t="str">
        <f t="shared" si="68"/>
        <v>Very Slow</v>
      </c>
      <c r="W747" s="1" t="str">
        <f t="shared" si="69"/>
        <v>OK</v>
      </c>
    </row>
    <row r="748" spans="1:23">
      <c r="A748" s="1">
        <v>57366</v>
      </c>
      <c r="B748" s="10">
        <v>46008</v>
      </c>
      <c r="C748" s="1">
        <v>12</v>
      </c>
      <c r="D748" s="1" t="s">
        <v>78</v>
      </c>
      <c r="E748" s="1" t="s">
        <v>87</v>
      </c>
      <c r="F748" s="1" t="s">
        <v>73</v>
      </c>
      <c r="G748" s="1" t="s">
        <v>60</v>
      </c>
      <c r="H748" s="1" t="s">
        <v>70</v>
      </c>
      <c r="I748" s="1" t="s">
        <v>191</v>
      </c>
      <c r="J748" s="24">
        <v>2.16</v>
      </c>
      <c r="K748" s="24">
        <v>3.85</v>
      </c>
      <c r="L748" s="28">
        <v>1.69</v>
      </c>
      <c r="M748" s="1">
        <v>9</v>
      </c>
      <c r="N748" s="28">
        <v>34.65</v>
      </c>
      <c r="O748" s="29">
        <v>0.06</v>
      </c>
      <c r="P748" s="28">
        <v>2.0790000000000002</v>
      </c>
      <c r="Q748" s="28">
        <v>32.570999999999998</v>
      </c>
      <c r="R748" s="1" t="str">
        <f t="shared" si="66"/>
        <v>Dec</v>
      </c>
      <c r="S748" s="28">
        <f t="shared" si="70"/>
        <v>19.440000000000001</v>
      </c>
      <c r="T748" s="28">
        <f t="shared" si="71"/>
        <v>13.130999999999997</v>
      </c>
      <c r="U748" s="11">
        <f t="shared" si="67"/>
        <v>0.40315004144791372</v>
      </c>
      <c r="V748" s="1" t="str">
        <f t="shared" si="68"/>
        <v>Slow</v>
      </c>
      <c r="W748" s="1" t="str">
        <f t="shared" si="69"/>
        <v>OK</v>
      </c>
    </row>
    <row r="749" spans="1:23">
      <c r="A749" s="1">
        <v>57367</v>
      </c>
      <c r="B749" s="10">
        <v>46009</v>
      </c>
      <c r="C749" s="1">
        <v>10</v>
      </c>
      <c r="D749" s="1" t="s">
        <v>57</v>
      </c>
      <c r="E749" s="1" t="s">
        <v>72</v>
      </c>
      <c r="F749" s="1" t="s">
        <v>59</v>
      </c>
      <c r="G749" s="1" t="s">
        <v>60</v>
      </c>
      <c r="H749" s="1" t="s">
        <v>70</v>
      </c>
      <c r="I749" s="1" t="s">
        <v>80</v>
      </c>
      <c r="J749" s="24">
        <v>4.46</v>
      </c>
      <c r="K749" s="24">
        <v>10.89</v>
      </c>
      <c r="L749" s="28">
        <v>6.4300000000000006</v>
      </c>
      <c r="M749" s="1">
        <v>32</v>
      </c>
      <c r="N749" s="28">
        <v>348.48</v>
      </c>
      <c r="O749" s="29">
        <v>0.08</v>
      </c>
      <c r="P749" s="28">
        <v>27.878399999999999</v>
      </c>
      <c r="Q749" s="28">
        <v>320.60160000000002</v>
      </c>
      <c r="R749" s="1" t="str">
        <f t="shared" si="66"/>
        <v>Dec</v>
      </c>
      <c r="S749" s="28">
        <f t="shared" si="70"/>
        <v>142.72</v>
      </c>
      <c r="T749" s="28">
        <f t="shared" si="71"/>
        <v>177.88160000000002</v>
      </c>
      <c r="U749" s="11">
        <f t="shared" si="67"/>
        <v>0.55483690661556273</v>
      </c>
      <c r="V749" s="1" t="str">
        <f t="shared" si="68"/>
        <v>Slow</v>
      </c>
      <c r="W749" s="1" t="str">
        <f t="shared" si="69"/>
        <v>OK</v>
      </c>
    </row>
    <row r="750" spans="1:23">
      <c r="A750" s="1">
        <v>57368</v>
      </c>
      <c r="B750" s="10">
        <v>46009</v>
      </c>
      <c r="C750" s="1">
        <v>6</v>
      </c>
      <c r="D750" s="1" t="s">
        <v>57</v>
      </c>
      <c r="E750" s="1" t="s">
        <v>87</v>
      </c>
      <c r="F750" s="1" t="s">
        <v>64</v>
      </c>
      <c r="G750" s="1" t="s">
        <v>60</v>
      </c>
      <c r="H750" s="1" t="s">
        <v>65</v>
      </c>
      <c r="I750" s="1" t="s">
        <v>224</v>
      </c>
      <c r="J750" s="24">
        <v>1.98</v>
      </c>
      <c r="K750" s="24">
        <v>3.15</v>
      </c>
      <c r="L750" s="28">
        <v>1.17</v>
      </c>
      <c r="M750" s="1">
        <v>21</v>
      </c>
      <c r="N750" s="28">
        <v>66.149999999999991</v>
      </c>
      <c r="O750" s="29">
        <v>0.02</v>
      </c>
      <c r="P750" s="28">
        <v>1.323</v>
      </c>
      <c r="Q750" s="28">
        <v>64.826999999999998</v>
      </c>
      <c r="R750" s="1" t="str">
        <f t="shared" si="66"/>
        <v>Dec</v>
      </c>
      <c r="S750" s="28">
        <f t="shared" si="70"/>
        <v>41.58</v>
      </c>
      <c r="T750" s="28">
        <f t="shared" si="71"/>
        <v>23.247</v>
      </c>
      <c r="U750" s="11">
        <f t="shared" si="67"/>
        <v>0.35860058309037901</v>
      </c>
      <c r="V750" s="1" t="str">
        <f t="shared" si="68"/>
        <v>Standard</v>
      </c>
      <c r="W750" s="1" t="str">
        <f t="shared" si="69"/>
        <v>OK</v>
      </c>
    </row>
    <row r="751" spans="1:23">
      <c r="A751" s="1">
        <v>57369</v>
      </c>
      <c r="B751" s="10">
        <v>46009</v>
      </c>
      <c r="C751" s="1">
        <v>4</v>
      </c>
      <c r="D751" s="1" t="s">
        <v>78</v>
      </c>
      <c r="E751" s="1" t="s">
        <v>72</v>
      </c>
      <c r="F751" s="1" t="s">
        <v>98</v>
      </c>
      <c r="G751" s="1" t="s">
        <v>81</v>
      </c>
      <c r="H751" s="1" t="s">
        <v>68</v>
      </c>
      <c r="I751" s="1" t="s">
        <v>228</v>
      </c>
      <c r="J751" s="24">
        <v>17.84</v>
      </c>
      <c r="K751" s="24">
        <v>34.99</v>
      </c>
      <c r="L751" s="28">
        <v>17.149999999999999</v>
      </c>
      <c r="M751" s="1">
        <v>29</v>
      </c>
      <c r="N751" s="28">
        <v>1014.71</v>
      </c>
      <c r="O751" s="29">
        <v>0.09</v>
      </c>
      <c r="P751" s="28">
        <v>91.323899999999995</v>
      </c>
      <c r="Q751" s="28">
        <v>923.38610000000006</v>
      </c>
      <c r="R751" s="1" t="str">
        <f t="shared" si="66"/>
        <v>Dec</v>
      </c>
      <c r="S751" s="28">
        <f t="shared" si="70"/>
        <v>517.36</v>
      </c>
      <c r="T751" s="28">
        <f t="shared" si="71"/>
        <v>406.02610000000004</v>
      </c>
      <c r="U751" s="11">
        <f t="shared" si="67"/>
        <v>0.43971432968289215</v>
      </c>
      <c r="V751" s="1" t="str">
        <f t="shared" si="68"/>
        <v>Standard</v>
      </c>
      <c r="W751" s="1" t="str">
        <f t="shared" si="69"/>
        <v>OK</v>
      </c>
    </row>
    <row r="752" spans="1:23">
      <c r="A752" s="1">
        <v>57370</v>
      </c>
      <c r="B752" s="10">
        <v>46010</v>
      </c>
      <c r="C752" s="1">
        <v>20</v>
      </c>
      <c r="D752" s="1" t="s">
        <v>57</v>
      </c>
      <c r="E752" s="1" t="s">
        <v>87</v>
      </c>
      <c r="F752" s="1" t="s">
        <v>98</v>
      </c>
      <c r="G752" s="1" t="s">
        <v>81</v>
      </c>
      <c r="H752" s="1" t="s">
        <v>65</v>
      </c>
      <c r="I752" s="1" t="s">
        <v>139</v>
      </c>
      <c r="J752" s="24">
        <v>6.39</v>
      </c>
      <c r="K752" s="24">
        <v>19.98</v>
      </c>
      <c r="L752" s="28">
        <v>13.59</v>
      </c>
      <c r="M752" s="1">
        <v>8</v>
      </c>
      <c r="N752" s="28">
        <v>159.84</v>
      </c>
      <c r="O752" s="29">
        <v>0.09</v>
      </c>
      <c r="P752" s="28">
        <v>14.3856</v>
      </c>
      <c r="Q752" s="28">
        <v>145.45439999999999</v>
      </c>
      <c r="R752" s="1" t="str">
        <f t="shared" si="66"/>
        <v>Dec</v>
      </c>
      <c r="S752" s="28">
        <f t="shared" si="70"/>
        <v>51.12</v>
      </c>
      <c r="T752" s="28">
        <f t="shared" si="71"/>
        <v>94.334399999999988</v>
      </c>
      <c r="U752" s="11">
        <f t="shared" si="67"/>
        <v>0.64854964854964847</v>
      </c>
      <c r="V752" s="1" t="str">
        <f t="shared" si="68"/>
        <v>Very Slow</v>
      </c>
      <c r="W752" s="1" t="str">
        <f t="shared" si="69"/>
        <v>OK</v>
      </c>
    </row>
    <row r="753" spans="1:23">
      <c r="A753" s="1">
        <v>57371</v>
      </c>
      <c r="B753" s="10">
        <v>46010</v>
      </c>
      <c r="C753" s="1">
        <v>13</v>
      </c>
      <c r="D753" s="1" t="s">
        <v>57</v>
      </c>
      <c r="E753" s="1" t="s">
        <v>87</v>
      </c>
      <c r="F753" s="1" t="s">
        <v>100</v>
      </c>
      <c r="G753" s="1" t="s">
        <v>60</v>
      </c>
      <c r="H753" s="1" t="s">
        <v>90</v>
      </c>
      <c r="I753" s="1" t="s">
        <v>175</v>
      </c>
      <c r="J753" s="24">
        <v>4.79</v>
      </c>
      <c r="K753" s="24">
        <v>11.97</v>
      </c>
      <c r="L753" s="28">
        <v>7.1800000000000006</v>
      </c>
      <c r="M753" s="1">
        <v>22</v>
      </c>
      <c r="N753" s="28">
        <v>263.33999999999997</v>
      </c>
      <c r="O753" s="29">
        <v>0.01</v>
      </c>
      <c r="P753" s="28">
        <v>2.6334</v>
      </c>
      <c r="Q753" s="28">
        <v>260.70659999999998</v>
      </c>
      <c r="R753" s="1" t="str">
        <f t="shared" si="66"/>
        <v>Dec</v>
      </c>
      <c r="S753" s="28">
        <f t="shared" si="70"/>
        <v>105.38</v>
      </c>
      <c r="T753" s="28">
        <f t="shared" si="71"/>
        <v>155.32659999999998</v>
      </c>
      <c r="U753" s="11">
        <f t="shared" si="67"/>
        <v>0.59579082386099924</v>
      </c>
      <c r="V753" s="1" t="str">
        <f t="shared" si="68"/>
        <v>Slow</v>
      </c>
      <c r="W753" s="1" t="str">
        <f t="shared" si="69"/>
        <v>OK</v>
      </c>
    </row>
    <row r="754" spans="1:23">
      <c r="A754" s="1">
        <v>57372</v>
      </c>
      <c r="B754" s="10">
        <v>46011</v>
      </c>
      <c r="C754" s="1">
        <v>8</v>
      </c>
      <c r="D754" s="1" t="s">
        <v>57</v>
      </c>
      <c r="E754" s="1" t="s">
        <v>58</v>
      </c>
      <c r="F754" s="1" t="s">
        <v>98</v>
      </c>
      <c r="G754" s="1" t="s">
        <v>60</v>
      </c>
      <c r="H754" s="1" t="s">
        <v>90</v>
      </c>
      <c r="I754" s="1" t="s">
        <v>128</v>
      </c>
      <c r="J754" s="24">
        <v>178.83</v>
      </c>
      <c r="K754" s="24">
        <v>415.88</v>
      </c>
      <c r="L754" s="28">
        <v>237.05</v>
      </c>
      <c r="M754" s="1">
        <v>25</v>
      </c>
      <c r="N754" s="28">
        <v>10397</v>
      </c>
      <c r="O754" s="29">
        <v>0.09</v>
      </c>
      <c r="P754" s="28">
        <v>935.73</v>
      </c>
      <c r="Q754" s="28">
        <v>9461.27</v>
      </c>
      <c r="R754" s="1" t="str">
        <f t="shared" si="66"/>
        <v>Dec</v>
      </c>
      <c r="S754" s="28">
        <f t="shared" si="70"/>
        <v>4470.75</v>
      </c>
      <c r="T754" s="28">
        <f t="shared" si="71"/>
        <v>4990.5200000000004</v>
      </c>
      <c r="U754" s="11">
        <f t="shared" si="67"/>
        <v>0.52746829971029263</v>
      </c>
      <c r="V754" s="1" t="str">
        <f t="shared" si="68"/>
        <v>Slow</v>
      </c>
      <c r="W754" s="1" t="str">
        <f t="shared" si="69"/>
        <v>OK</v>
      </c>
    </row>
    <row r="755" spans="1:23">
      <c r="A755" s="1">
        <v>57373</v>
      </c>
      <c r="B755" s="10">
        <v>46011</v>
      </c>
      <c r="C755" s="1">
        <v>13</v>
      </c>
      <c r="D755" s="1" t="s">
        <v>57</v>
      </c>
      <c r="E755" s="1" t="s">
        <v>58</v>
      </c>
      <c r="F755" s="1" t="s">
        <v>108</v>
      </c>
      <c r="G755" s="1" t="s">
        <v>81</v>
      </c>
      <c r="H755" s="1" t="s">
        <v>90</v>
      </c>
      <c r="I755" s="1" t="s">
        <v>130</v>
      </c>
      <c r="J755" s="24">
        <v>156.5</v>
      </c>
      <c r="K755" s="24">
        <v>300.97000000000003</v>
      </c>
      <c r="L755" s="28">
        <v>144.47</v>
      </c>
      <c r="M755" s="1">
        <v>25</v>
      </c>
      <c r="N755" s="28">
        <v>7524.2500000000009</v>
      </c>
      <c r="O755" s="29">
        <v>0.06</v>
      </c>
      <c r="P755" s="28">
        <v>451.45499999999998</v>
      </c>
      <c r="Q755" s="28">
        <v>7072.795000000001</v>
      </c>
      <c r="R755" s="1" t="str">
        <f t="shared" si="66"/>
        <v>Dec</v>
      </c>
      <c r="S755" s="28">
        <f t="shared" si="70"/>
        <v>3912.5</v>
      </c>
      <c r="T755" s="28">
        <f t="shared" si="71"/>
        <v>3160.295000000001</v>
      </c>
      <c r="U755" s="11">
        <f t="shared" si="67"/>
        <v>0.44682406318859808</v>
      </c>
      <c r="V755" s="1" t="str">
        <f t="shared" si="68"/>
        <v>Slow</v>
      </c>
      <c r="W755" s="1" t="str">
        <f t="shared" si="69"/>
        <v>OK</v>
      </c>
    </row>
    <row r="756" spans="1:23">
      <c r="A756" s="1">
        <v>57374</v>
      </c>
      <c r="B756" s="10">
        <v>46012</v>
      </c>
      <c r="C756" s="1">
        <v>1</v>
      </c>
      <c r="D756" s="1" t="s">
        <v>57</v>
      </c>
      <c r="E756" s="1" t="s">
        <v>72</v>
      </c>
      <c r="F756" s="1" t="s">
        <v>100</v>
      </c>
      <c r="G756" s="1" t="s">
        <v>81</v>
      </c>
      <c r="H756" s="1" t="s">
        <v>68</v>
      </c>
      <c r="I756" s="1" t="s">
        <v>229</v>
      </c>
      <c r="J756" s="24">
        <v>9.91</v>
      </c>
      <c r="K756" s="24">
        <v>15.99</v>
      </c>
      <c r="L756" s="28">
        <v>6.08</v>
      </c>
      <c r="M756" s="1">
        <v>35</v>
      </c>
      <c r="N756" s="28">
        <v>559.65</v>
      </c>
      <c r="O756" s="29">
        <v>0.01</v>
      </c>
      <c r="P756" s="28">
        <v>5.5964999999999998</v>
      </c>
      <c r="Q756" s="28">
        <v>554.05349999999999</v>
      </c>
      <c r="R756" s="1" t="str">
        <f t="shared" si="66"/>
        <v>Dec</v>
      </c>
      <c r="S756" s="28">
        <f t="shared" si="70"/>
        <v>346.85</v>
      </c>
      <c r="T756" s="28">
        <f t="shared" si="71"/>
        <v>207.20349999999996</v>
      </c>
      <c r="U756" s="11">
        <f t="shared" si="67"/>
        <v>0.37397742275791052</v>
      </c>
      <c r="V756" s="1" t="str">
        <f t="shared" si="68"/>
        <v>Fast</v>
      </c>
      <c r="W756" s="1" t="str">
        <f t="shared" si="69"/>
        <v>OK</v>
      </c>
    </row>
    <row r="757" spans="1:23">
      <c r="A757" s="1">
        <v>57375</v>
      </c>
      <c r="B757" s="10">
        <v>46012</v>
      </c>
      <c r="C757" s="1">
        <v>12</v>
      </c>
      <c r="D757" s="1" t="s">
        <v>57</v>
      </c>
      <c r="E757" s="1" t="s">
        <v>58</v>
      </c>
      <c r="F757" s="1" t="s">
        <v>59</v>
      </c>
      <c r="G757" s="1" t="s">
        <v>60</v>
      </c>
      <c r="H757" s="1" t="s">
        <v>68</v>
      </c>
      <c r="I757" s="1" t="s">
        <v>133</v>
      </c>
      <c r="J757" s="24">
        <v>3.65</v>
      </c>
      <c r="K757" s="24">
        <v>5.98</v>
      </c>
      <c r="L757" s="28">
        <v>2.330000000000001</v>
      </c>
      <c r="M757" s="1">
        <v>25</v>
      </c>
      <c r="N757" s="28">
        <v>149.5</v>
      </c>
      <c r="O757" s="29">
        <v>0.01</v>
      </c>
      <c r="P757" s="28">
        <v>1.4950000000000001</v>
      </c>
      <c r="Q757" s="28">
        <v>148.005</v>
      </c>
      <c r="R757" s="1" t="str">
        <f t="shared" si="66"/>
        <v>Dec</v>
      </c>
      <c r="S757" s="28">
        <f t="shared" si="70"/>
        <v>91.25</v>
      </c>
      <c r="T757" s="28">
        <f t="shared" si="71"/>
        <v>56.754999999999995</v>
      </c>
      <c r="U757" s="11">
        <f t="shared" si="67"/>
        <v>0.38346677477112256</v>
      </c>
      <c r="V757" s="1" t="str">
        <f t="shared" si="68"/>
        <v>Slow</v>
      </c>
      <c r="W757" s="1" t="str">
        <f t="shared" si="69"/>
        <v>OK</v>
      </c>
    </row>
    <row r="758" spans="1:23">
      <c r="A758" s="1">
        <v>57376</v>
      </c>
      <c r="B758" s="10">
        <v>46012</v>
      </c>
      <c r="C758" s="1">
        <v>8</v>
      </c>
      <c r="D758" s="1" t="s">
        <v>78</v>
      </c>
      <c r="E758" s="1" t="s">
        <v>87</v>
      </c>
      <c r="F758" s="1" t="s">
        <v>100</v>
      </c>
      <c r="G758" s="1" t="s">
        <v>60</v>
      </c>
      <c r="H758" s="1" t="s">
        <v>61</v>
      </c>
      <c r="I758" s="1" t="s">
        <v>112</v>
      </c>
      <c r="J758" s="24">
        <v>3.5</v>
      </c>
      <c r="K758" s="24">
        <v>5.74</v>
      </c>
      <c r="L758" s="28">
        <v>2.2400000000000002</v>
      </c>
      <c r="M758" s="1">
        <v>49</v>
      </c>
      <c r="N758" s="28">
        <v>281.26</v>
      </c>
      <c r="O758" s="29">
        <v>0.05</v>
      </c>
      <c r="P758" s="28">
        <v>14.063000000000001</v>
      </c>
      <c r="Q758" s="28">
        <v>267.197</v>
      </c>
      <c r="R758" s="1" t="str">
        <f t="shared" si="66"/>
        <v>Dec</v>
      </c>
      <c r="S758" s="28">
        <f t="shared" si="70"/>
        <v>171.5</v>
      </c>
      <c r="T758" s="28">
        <f t="shared" si="71"/>
        <v>95.697000000000003</v>
      </c>
      <c r="U758" s="11">
        <f t="shared" si="67"/>
        <v>0.35815147625160465</v>
      </c>
      <c r="V758" s="1" t="str">
        <f t="shared" si="68"/>
        <v>Slow</v>
      </c>
      <c r="W758" s="1" t="str">
        <f t="shared" si="69"/>
        <v>OK</v>
      </c>
    </row>
    <row r="759" spans="1:23">
      <c r="A759" s="1">
        <v>57377</v>
      </c>
      <c r="B759" s="10">
        <v>46012</v>
      </c>
      <c r="C759" s="1">
        <v>18</v>
      </c>
      <c r="D759" s="1" t="s">
        <v>63</v>
      </c>
      <c r="E759" s="1" t="s">
        <v>87</v>
      </c>
      <c r="F759" s="1" t="s">
        <v>98</v>
      </c>
      <c r="G759" s="1" t="s">
        <v>60</v>
      </c>
      <c r="H759" s="1" t="s">
        <v>70</v>
      </c>
      <c r="I759" s="1" t="s">
        <v>155</v>
      </c>
      <c r="J759" s="24">
        <v>2.39</v>
      </c>
      <c r="K759" s="24">
        <v>4.26</v>
      </c>
      <c r="L759" s="28">
        <v>1.87</v>
      </c>
      <c r="M759" s="1">
        <v>50</v>
      </c>
      <c r="N759" s="28">
        <v>213</v>
      </c>
      <c r="O759" s="29">
        <v>7.0000000000000007E-2</v>
      </c>
      <c r="P759" s="28">
        <v>14.91</v>
      </c>
      <c r="Q759" s="28">
        <v>198.09</v>
      </c>
      <c r="R759" s="1" t="str">
        <f t="shared" si="66"/>
        <v>Dec</v>
      </c>
      <c r="S759" s="28">
        <f t="shared" si="70"/>
        <v>119.5</v>
      </c>
      <c r="T759" s="28">
        <f t="shared" si="71"/>
        <v>78.59</v>
      </c>
      <c r="U759" s="11">
        <f>IF(Q759=0,0,T759/Q759)</f>
        <v>0.39673885607552123</v>
      </c>
      <c r="V759" s="1" t="str">
        <f t="shared" si="68"/>
        <v>Very Slow</v>
      </c>
      <c r="W759" s="1" t="str">
        <f t="shared" si="69"/>
        <v>OK</v>
      </c>
    </row>
    <row r="760" spans="1:23">
      <c r="A760" s="1">
        <v>57378</v>
      </c>
      <c r="B760" s="10">
        <v>46012</v>
      </c>
      <c r="C760" s="1">
        <v>7</v>
      </c>
      <c r="D760" s="1" t="s">
        <v>57</v>
      </c>
      <c r="E760" s="1" t="s">
        <v>87</v>
      </c>
      <c r="F760" s="1" t="s">
        <v>98</v>
      </c>
      <c r="G760" s="1" t="s">
        <v>60</v>
      </c>
      <c r="H760" s="1" t="s">
        <v>70</v>
      </c>
      <c r="I760" s="1" t="s">
        <v>165</v>
      </c>
      <c r="J760" s="24">
        <v>1.3</v>
      </c>
      <c r="K760" s="24">
        <v>2.88</v>
      </c>
      <c r="L760" s="28">
        <v>1.58</v>
      </c>
      <c r="M760" s="1">
        <v>19</v>
      </c>
      <c r="N760" s="28">
        <v>54.72</v>
      </c>
      <c r="O760" s="29">
        <v>0.09</v>
      </c>
      <c r="P760" s="28">
        <v>4.9247999999999994</v>
      </c>
      <c r="Q760" s="28">
        <v>49.795200000000001</v>
      </c>
      <c r="R760" s="1" t="str">
        <f t="shared" si="66"/>
        <v>Dec</v>
      </c>
      <c r="S760" s="28">
        <f t="shared" si="70"/>
        <v>24.7</v>
      </c>
      <c r="T760" s="28">
        <f t="shared" si="71"/>
        <v>25.095200000000002</v>
      </c>
      <c r="U760" s="11">
        <f t="shared" si="67"/>
        <v>0.50396825396825395</v>
      </c>
      <c r="V760" s="1" t="str">
        <f t="shared" si="68"/>
        <v>Standard</v>
      </c>
      <c r="W760" s="1" t="str">
        <f t="shared" si="69"/>
        <v>OK</v>
      </c>
    </row>
    <row r="761" spans="1:23">
      <c r="A761" s="1">
        <v>57379</v>
      </c>
      <c r="B761" s="10">
        <v>46013</v>
      </c>
      <c r="C761" s="1">
        <v>15</v>
      </c>
      <c r="D761" s="1" t="s">
        <v>63</v>
      </c>
      <c r="E761" s="1" t="s">
        <v>67</v>
      </c>
      <c r="F761" s="1" t="s">
        <v>75</v>
      </c>
      <c r="G761" s="1" t="s">
        <v>60</v>
      </c>
      <c r="H761" s="1" t="s">
        <v>61</v>
      </c>
      <c r="I761" s="1" t="s">
        <v>189</v>
      </c>
      <c r="J761" s="24">
        <v>52.07</v>
      </c>
      <c r="K761" s="24">
        <v>83.98</v>
      </c>
      <c r="L761" s="28">
        <v>31.91</v>
      </c>
      <c r="M761" s="1">
        <v>29</v>
      </c>
      <c r="N761" s="28">
        <v>2435.42</v>
      </c>
      <c r="O761" s="29">
        <v>0.05</v>
      </c>
      <c r="P761" s="28">
        <v>121.771</v>
      </c>
      <c r="Q761" s="28">
        <v>2313.6489999999999</v>
      </c>
      <c r="R761" s="1" t="str">
        <f t="shared" si="66"/>
        <v>Dec</v>
      </c>
      <c r="S761" s="28">
        <f t="shared" si="70"/>
        <v>1510.03</v>
      </c>
      <c r="T761" s="28">
        <f t="shared" si="71"/>
        <v>803.61899999999991</v>
      </c>
      <c r="U761" s="11">
        <f t="shared" si="67"/>
        <v>0.34733833870219727</v>
      </c>
      <c r="V761" s="1" t="str">
        <f t="shared" si="68"/>
        <v>Very Slow</v>
      </c>
      <c r="W761" s="1" t="str">
        <f t="shared" si="69"/>
        <v>OK</v>
      </c>
    </row>
    <row r="762" spans="1:23">
      <c r="A762" s="1">
        <v>57380</v>
      </c>
      <c r="B762" s="10">
        <v>46014</v>
      </c>
      <c r="C762" s="1">
        <v>5</v>
      </c>
      <c r="D762" s="1" t="s">
        <v>57</v>
      </c>
      <c r="E762" s="1" t="s">
        <v>87</v>
      </c>
      <c r="F762" s="1" t="s">
        <v>75</v>
      </c>
      <c r="G762" s="1" t="s">
        <v>81</v>
      </c>
      <c r="H762" s="1" t="s">
        <v>65</v>
      </c>
      <c r="I762" s="1" t="s">
        <v>92</v>
      </c>
      <c r="J762" s="24">
        <v>39.64</v>
      </c>
      <c r="K762" s="24">
        <v>152.47999999999999</v>
      </c>
      <c r="L762" s="28">
        <v>112.84</v>
      </c>
      <c r="M762" s="1">
        <v>41</v>
      </c>
      <c r="N762" s="28">
        <v>6251.6799999999994</v>
      </c>
      <c r="O762" s="29">
        <v>0.03</v>
      </c>
      <c r="P762" s="28">
        <v>187.5504</v>
      </c>
      <c r="Q762" s="28">
        <v>6064.1295999999993</v>
      </c>
      <c r="R762" s="1" t="str">
        <f t="shared" si="66"/>
        <v>Dec</v>
      </c>
      <c r="S762" s="28">
        <f t="shared" si="70"/>
        <v>1625.24</v>
      </c>
      <c r="T762" s="28">
        <f t="shared" si="71"/>
        <v>4438.8895999999995</v>
      </c>
      <c r="U762" s="11">
        <f t="shared" si="67"/>
        <v>0.73199121601886608</v>
      </c>
      <c r="V762" s="1" t="str">
        <f t="shared" si="68"/>
        <v>Standard</v>
      </c>
      <c r="W762" s="1" t="str">
        <f t="shared" si="69"/>
        <v>OK</v>
      </c>
    </row>
    <row r="763" spans="1:23">
      <c r="A763" s="1">
        <v>57381</v>
      </c>
      <c r="B763" s="10">
        <v>46014</v>
      </c>
      <c r="C763" s="1">
        <v>22</v>
      </c>
      <c r="D763" s="1" t="s">
        <v>57</v>
      </c>
      <c r="E763" s="1" t="s">
        <v>87</v>
      </c>
      <c r="F763" s="1" t="s">
        <v>84</v>
      </c>
      <c r="G763" s="1" t="s">
        <v>60</v>
      </c>
      <c r="H763" s="1" t="s">
        <v>61</v>
      </c>
      <c r="I763" s="1" t="s">
        <v>205</v>
      </c>
      <c r="J763" s="24">
        <v>2.5</v>
      </c>
      <c r="K763" s="24">
        <v>5.68</v>
      </c>
      <c r="L763" s="28">
        <v>3.18</v>
      </c>
      <c r="M763" s="1">
        <v>39</v>
      </c>
      <c r="N763" s="28">
        <v>221.52</v>
      </c>
      <c r="O763" s="29">
        <v>0</v>
      </c>
      <c r="P763" s="28">
        <v>0</v>
      </c>
      <c r="Q763" s="28">
        <v>221.52</v>
      </c>
      <c r="R763" s="1" t="str">
        <f t="shared" si="66"/>
        <v>Dec</v>
      </c>
      <c r="S763" s="28">
        <f t="shared" si="70"/>
        <v>97.5</v>
      </c>
      <c r="T763" s="28">
        <f t="shared" si="71"/>
        <v>124.02000000000001</v>
      </c>
      <c r="U763" s="11">
        <f t="shared" si="67"/>
        <v>0.5598591549295775</v>
      </c>
      <c r="V763" s="1" t="str">
        <f t="shared" si="68"/>
        <v>Very Slow</v>
      </c>
      <c r="W763" s="1" t="str">
        <f t="shared" si="69"/>
        <v>OK</v>
      </c>
    </row>
    <row r="764" spans="1:23">
      <c r="A764" s="1">
        <v>57382</v>
      </c>
      <c r="B764" s="10">
        <v>46014</v>
      </c>
      <c r="C764" s="1">
        <v>16</v>
      </c>
      <c r="D764" s="1" t="s">
        <v>63</v>
      </c>
      <c r="E764" s="1" t="s">
        <v>87</v>
      </c>
      <c r="F764" s="1" t="s">
        <v>79</v>
      </c>
      <c r="G764" s="1" t="s">
        <v>60</v>
      </c>
      <c r="H764" s="1" t="s">
        <v>61</v>
      </c>
      <c r="I764" s="1" t="s">
        <v>120</v>
      </c>
      <c r="J764" s="24">
        <v>16.8</v>
      </c>
      <c r="K764" s="24">
        <v>40.97</v>
      </c>
      <c r="L764" s="28">
        <v>24.17</v>
      </c>
      <c r="M764" s="1">
        <v>30</v>
      </c>
      <c r="N764" s="28">
        <v>1229.0999999999999</v>
      </c>
      <c r="O764" s="29">
        <v>0.06</v>
      </c>
      <c r="P764" s="28">
        <v>73.745999999999995</v>
      </c>
      <c r="Q764" s="28">
        <v>1155.354</v>
      </c>
      <c r="R764" s="1" t="str">
        <f t="shared" si="66"/>
        <v>Dec</v>
      </c>
      <c r="S764" s="28">
        <f t="shared" si="70"/>
        <v>504</v>
      </c>
      <c r="T764" s="28">
        <f t="shared" si="71"/>
        <v>651.35400000000004</v>
      </c>
      <c r="U764" s="11">
        <f t="shared" si="67"/>
        <v>0.56377006527869378</v>
      </c>
      <c r="V764" s="1" t="str">
        <f t="shared" si="68"/>
        <v>Very Slow</v>
      </c>
      <c r="W764" s="1" t="str">
        <f t="shared" si="69"/>
        <v>OK</v>
      </c>
    </row>
    <row r="765" spans="1:23">
      <c r="A765" s="1">
        <v>57383</v>
      </c>
      <c r="B765" s="10">
        <v>46014</v>
      </c>
      <c r="C765" s="1">
        <v>2</v>
      </c>
      <c r="D765" s="1" t="s">
        <v>57</v>
      </c>
      <c r="E765" s="1" t="s">
        <v>72</v>
      </c>
      <c r="F765" s="1" t="s">
        <v>96</v>
      </c>
      <c r="G765" s="1" t="s">
        <v>60</v>
      </c>
      <c r="H765" s="1" t="s">
        <v>70</v>
      </c>
      <c r="I765" s="1" t="s">
        <v>165</v>
      </c>
      <c r="J765" s="24">
        <v>1.3</v>
      </c>
      <c r="K765" s="24">
        <v>2.88</v>
      </c>
      <c r="L765" s="28">
        <v>1.58</v>
      </c>
      <c r="M765" s="1">
        <v>38</v>
      </c>
      <c r="N765" s="28">
        <v>109.44</v>
      </c>
      <c r="O765" s="29">
        <v>0.1</v>
      </c>
      <c r="P765" s="28">
        <v>10.944000000000001</v>
      </c>
      <c r="Q765" s="28">
        <v>98.495999999999995</v>
      </c>
      <c r="R765" s="1" t="str">
        <f t="shared" si="66"/>
        <v>Dec</v>
      </c>
      <c r="S765" s="28">
        <f t="shared" si="70"/>
        <v>49.4</v>
      </c>
      <c r="T765" s="28">
        <f t="shared" si="71"/>
        <v>49.095999999999997</v>
      </c>
      <c r="U765" s="11">
        <f t="shared" si="67"/>
        <v>0.49845679012345678</v>
      </c>
      <c r="V765" s="1" t="str">
        <f t="shared" si="68"/>
        <v>Fast</v>
      </c>
      <c r="W765" s="1" t="str">
        <f t="shared" si="69"/>
        <v>OK</v>
      </c>
    </row>
    <row r="766" spans="1:23">
      <c r="A766" s="1">
        <v>57384</v>
      </c>
      <c r="B766" s="10">
        <v>46014</v>
      </c>
      <c r="C766" s="1">
        <v>8</v>
      </c>
      <c r="D766" s="1" t="s">
        <v>78</v>
      </c>
      <c r="E766" s="1" t="s">
        <v>72</v>
      </c>
      <c r="F766" s="1" t="s">
        <v>96</v>
      </c>
      <c r="G766" s="1" t="s">
        <v>60</v>
      </c>
      <c r="H766" s="1" t="s">
        <v>90</v>
      </c>
      <c r="I766" s="1" t="s">
        <v>196</v>
      </c>
      <c r="J766" s="24">
        <v>4.8899999999999997</v>
      </c>
      <c r="K766" s="24">
        <v>7.64</v>
      </c>
      <c r="L766" s="28">
        <v>2.75</v>
      </c>
      <c r="M766" s="1">
        <v>12</v>
      </c>
      <c r="N766" s="28">
        <v>91.679999999999993</v>
      </c>
      <c r="O766" s="29">
        <v>0.02</v>
      </c>
      <c r="P766" s="28">
        <v>1.8335999999999999</v>
      </c>
      <c r="Q766" s="28">
        <v>89.846399999999988</v>
      </c>
      <c r="R766" s="1" t="str">
        <f t="shared" si="66"/>
        <v>Dec</v>
      </c>
      <c r="S766" s="28">
        <f t="shared" si="70"/>
        <v>58.679999999999993</v>
      </c>
      <c r="T766" s="28">
        <f t="shared" si="71"/>
        <v>31.166399999999996</v>
      </c>
      <c r="U766" s="11">
        <f t="shared" si="67"/>
        <v>0.34688535099903833</v>
      </c>
      <c r="V766" s="1" t="str">
        <f t="shared" si="68"/>
        <v>Slow</v>
      </c>
      <c r="W766" s="1" t="str">
        <f t="shared" si="69"/>
        <v>OK</v>
      </c>
    </row>
    <row r="767" spans="1:23">
      <c r="A767" s="1">
        <v>57385</v>
      </c>
      <c r="B767" s="10">
        <v>46015</v>
      </c>
      <c r="C767" s="1">
        <v>9</v>
      </c>
      <c r="D767" s="1" t="s">
        <v>63</v>
      </c>
      <c r="E767" s="1" t="s">
        <v>72</v>
      </c>
      <c r="F767" s="1" t="s">
        <v>73</v>
      </c>
      <c r="G767" s="1" t="s">
        <v>60</v>
      </c>
      <c r="H767" s="1" t="s">
        <v>61</v>
      </c>
      <c r="I767" s="1" t="s">
        <v>176</v>
      </c>
      <c r="J767" s="24">
        <v>3.84</v>
      </c>
      <c r="K767" s="24">
        <v>6.3</v>
      </c>
      <c r="L767" s="28">
        <v>2.46</v>
      </c>
      <c r="M767" s="1">
        <v>42</v>
      </c>
      <c r="N767" s="28">
        <v>264.60000000000002</v>
      </c>
      <c r="O767" s="29">
        <v>0.03</v>
      </c>
      <c r="P767" s="28">
        <v>7.9379999999999988</v>
      </c>
      <c r="Q767" s="28">
        <v>256.66199999999998</v>
      </c>
      <c r="R767" s="1" t="str">
        <f t="shared" si="66"/>
        <v>Dec</v>
      </c>
      <c r="S767" s="28">
        <f t="shared" si="70"/>
        <v>161.28</v>
      </c>
      <c r="T767" s="28">
        <f t="shared" si="71"/>
        <v>95.381999999999977</v>
      </c>
      <c r="U767" s="11">
        <f t="shared" si="67"/>
        <v>0.37162493863524787</v>
      </c>
      <c r="V767" s="1" t="str">
        <f t="shared" si="68"/>
        <v>Slow</v>
      </c>
      <c r="W767" s="1" t="str">
        <f t="shared" si="69"/>
        <v>OK</v>
      </c>
    </row>
    <row r="768" spans="1:23">
      <c r="A768" s="1">
        <v>57386</v>
      </c>
      <c r="B768" s="10">
        <v>46015</v>
      </c>
      <c r="C768" s="1">
        <v>7</v>
      </c>
      <c r="D768" s="1" t="s">
        <v>63</v>
      </c>
      <c r="E768" s="1" t="s">
        <v>72</v>
      </c>
      <c r="F768" s="1" t="s">
        <v>73</v>
      </c>
      <c r="G768" s="1" t="s">
        <v>60</v>
      </c>
      <c r="H768" s="1" t="s">
        <v>70</v>
      </c>
      <c r="I768" s="1" t="s">
        <v>198</v>
      </c>
      <c r="J768" s="24">
        <v>2.52</v>
      </c>
      <c r="K768" s="24">
        <v>4</v>
      </c>
      <c r="L768" s="28">
        <v>1.48</v>
      </c>
      <c r="M768" s="1">
        <v>36</v>
      </c>
      <c r="N768" s="28">
        <v>144</v>
      </c>
      <c r="O768" s="29">
        <v>0.09</v>
      </c>
      <c r="P768" s="28">
        <v>12.96</v>
      </c>
      <c r="Q768" s="28">
        <v>131.04</v>
      </c>
      <c r="R768" s="1" t="str">
        <f t="shared" si="66"/>
        <v>Dec</v>
      </c>
      <c r="S768" s="28">
        <f t="shared" si="70"/>
        <v>90.72</v>
      </c>
      <c r="T768" s="28">
        <f t="shared" si="71"/>
        <v>40.319999999999993</v>
      </c>
      <c r="U768" s="11">
        <f t="shared" si="67"/>
        <v>0.30769230769230765</v>
      </c>
      <c r="V768" s="1" t="str">
        <f t="shared" si="68"/>
        <v>Standard</v>
      </c>
      <c r="W768" s="1" t="str">
        <f t="shared" si="69"/>
        <v>OK</v>
      </c>
    </row>
    <row r="769" spans="1:23">
      <c r="A769" s="1">
        <v>57387</v>
      </c>
      <c r="B769" s="10">
        <v>46015</v>
      </c>
      <c r="C769" s="1">
        <v>23</v>
      </c>
      <c r="D769" s="1" t="s">
        <v>78</v>
      </c>
      <c r="E769" s="1" t="s">
        <v>58</v>
      </c>
      <c r="F769" s="1" t="s">
        <v>88</v>
      </c>
      <c r="G769" s="1" t="s">
        <v>81</v>
      </c>
      <c r="H769" s="1" t="s">
        <v>68</v>
      </c>
      <c r="I769" s="1" t="s">
        <v>212</v>
      </c>
      <c r="J769" s="24">
        <v>6.51</v>
      </c>
      <c r="K769" s="24">
        <v>30.98</v>
      </c>
      <c r="L769" s="28">
        <v>24.47</v>
      </c>
      <c r="M769" s="1">
        <v>10</v>
      </c>
      <c r="N769" s="28">
        <v>309.8</v>
      </c>
      <c r="O769" s="29">
        <v>0</v>
      </c>
      <c r="P769" s="28">
        <v>0</v>
      </c>
      <c r="Q769" s="28">
        <v>309.8</v>
      </c>
      <c r="R769" s="1" t="str">
        <f t="shared" si="66"/>
        <v>Dec</v>
      </c>
      <c r="S769" s="28">
        <f t="shared" si="70"/>
        <v>65.099999999999994</v>
      </c>
      <c r="T769" s="28">
        <f t="shared" si="71"/>
        <v>244.70000000000002</v>
      </c>
      <c r="U769" s="11">
        <f t="shared" si="67"/>
        <v>0.78986442866365403</v>
      </c>
      <c r="V769" s="1" t="str">
        <f t="shared" si="68"/>
        <v>Very Slow</v>
      </c>
      <c r="W769" s="1" t="str">
        <f t="shared" si="69"/>
        <v>OK</v>
      </c>
    </row>
    <row r="770" spans="1:23">
      <c r="A770" s="1">
        <v>57388</v>
      </c>
      <c r="B770" s="10">
        <v>46017</v>
      </c>
      <c r="C770" s="1">
        <v>3</v>
      </c>
      <c r="D770" s="1" t="s">
        <v>57</v>
      </c>
      <c r="E770" s="1" t="s">
        <v>87</v>
      </c>
      <c r="F770" s="1" t="s">
        <v>79</v>
      </c>
      <c r="G770" s="1" t="s">
        <v>60</v>
      </c>
      <c r="H770" s="1" t="s">
        <v>70</v>
      </c>
      <c r="I770" s="1" t="s">
        <v>112</v>
      </c>
      <c r="J770" s="24">
        <v>3.5</v>
      </c>
      <c r="K770" s="24">
        <v>5.74</v>
      </c>
      <c r="L770" s="28">
        <v>2.2400000000000002</v>
      </c>
      <c r="M770" s="1">
        <v>6</v>
      </c>
      <c r="N770" s="28">
        <v>34.44</v>
      </c>
      <c r="O770" s="29">
        <v>7.0000000000000007E-2</v>
      </c>
      <c r="P770" s="28">
        <v>2.4108000000000001</v>
      </c>
      <c r="Q770" s="28">
        <v>32.029200000000003</v>
      </c>
      <c r="R770" s="1" t="str">
        <f t="shared" si="66"/>
        <v>Dec</v>
      </c>
      <c r="S770" s="28">
        <f t="shared" si="70"/>
        <v>21</v>
      </c>
      <c r="T770" s="28">
        <f t="shared" si="71"/>
        <v>11.029200000000003</v>
      </c>
      <c r="U770" s="11">
        <f t="shared" si="67"/>
        <v>0.34434828219249941</v>
      </c>
      <c r="V770" s="1" t="str">
        <f t="shared" si="68"/>
        <v>Fast</v>
      </c>
      <c r="W770" s="1" t="str">
        <f t="shared" si="69"/>
        <v>OK</v>
      </c>
    </row>
    <row r="771" spans="1:23">
      <c r="A771" s="1">
        <v>57389</v>
      </c>
      <c r="B771" s="10">
        <v>46017</v>
      </c>
      <c r="C771" s="1">
        <v>18</v>
      </c>
      <c r="D771" s="1" t="s">
        <v>57</v>
      </c>
      <c r="E771" s="1" t="s">
        <v>72</v>
      </c>
      <c r="F771" s="1" t="s">
        <v>59</v>
      </c>
      <c r="G771" s="1" t="s">
        <v>81</v>
      </c>
      <c r="H771" s="1" t="s">
        <v>90</v>
      </c>
      <c r="I771" s="1" t="s">
        <v>160</v>
      </c>
      <c r="J771" s="24">
        <v>14.7</v>
      </c>
      <c r="K771" s="24">
        <v>29.99</v>
      </c>
      <c r="L771" s="28">
        <v>15.29</v>
      </c>
      <c r="M771" s="1">
        <v>20</v>
      </c>
      <c r="N771" s="28">
        <v>599.79999999999995</v>
      </c>
      <c r="O771" s="29">
        <v>0.04</v>
      </c>
      <c r="P771" s="28">
        <v>23.992000000000001</v>
      </c>
      <c r="Q771" s="28">
        <v>575.80799999999999</v>
      </c>
      <c r="R771" s="1" t="str">
        <f t="shared" si="66"/>
        <v>Dec</v>
      </c>
      <c r="S771" s="28">
        <f t="shared" si="70"/>
        <v>294</v>
      </c>
      <c r="T771" s="28">
        <f t="shared" si="71"/>
        <v>281.80799999999999</v>
      </c>
      <c r="U771" s="11">
        <f t="shared" si="67"/>
        <v>0.48941313771257083</v>
      </c>
      <c r="V771" s="1" t="str">
        <f t="shared" si="68"/>
        <v>Very Slow</v>
      </c>
      <c r="W771" s="1" t="str">
        <f t="shared" si="69"/>
        <v>OK</v>
      </c>
    </row>
    <row r="772" spans="1:23">
      <c r="A772" s="1">
        <v>57390</v>
      </c>
      <c r="B772" s="10">
        <v>46017</v>
      </c>
      <c r="C772" s="1">
        <v>2</v>
      </c>
      <c r="D772" s="1" t="s">
        <v>57</v>
      </c>
      <c r="E772" s="1" t="s">
        <v>67</v>
      </c>
      <c r="F772" s="1" t="s">
        <v>98</v>
      </c>
      <c r="G772" s="1" t="s">
        <v>60</v>
      </c>
      <c r="H772" s="1" t="s">
        <v>70</v>
      </c>
      <c r="I772" s="1" t="s">
        <v>180</v>
      </c>
      <c r="J772" s="24">
        <v>54.29</v>
      </c>
      <c r="K772" s="24">
        <v>90.48</v>
      </c>
      <c r="L772" s="28">
        <v>36.19</v>
      </c>
      <c r="M772" s="1">
        <v>53</v>
      </c>
      <c r="N772" s="28">
        <v>4795.4400000000014</v>
      </c>
      <c r="O772" s="29">
        <v>0.05</v>
      </c>
      <c r="P772" s="28">
        <v>239.77199999999999</v>
      </c>
      <c r="Q772" s="28">
        <v>4555.6680000000006</v>
      </c>
      <c r="R772" s="1" t="str">
        <f t="shared" si="66"/>
        <v>Dec</v>
      </c>
      <c r="S772" s="28">
        <f t="shared" si="70"/>
        <v>2877.37</v>
      </c>
      <c r="T772" s="28">
        <f t="shared" si="71"/>
        <v>1678.2980000000007</v>
      </c>
      <c r="U772" s="11">
        <f t="shared" si="67"/>
        <v>0.36839778491321151</v>
      </c>
      <c r="V772" s="1" t="str">
        <f t="shared" si="68"/>
        <v>Fast</v>
      </c>
      <c r="W772" s="1" t="str">
        <f t="shared" si="69"/>
        <v>OK</v>
      </c>
    </row>
    <row r="773" spans="1:23">
      <c r="A773" s="1">
        <v>57391</v>
      </c>
      <c r="B773" s="10">
        <v>46018</v>
      </c>
      <c r="C773" s="1">
        <v>19</v>
      </c>
      <c r="D773" s="1" t="s">
        <v>57</v>
      </c>
      <c r="E773" s="1" t="s">
        <v>58</v>
      </c>
      <c r="F773" s="1" t="s">
        <v>73</v>
      </c>
      <c r="G773" s="1" t="s">
        <v>60</v>
      </c>
      <c r="H773" s="1" t="s">
        <v>65</v>
      </c>
      <c r="I773" s="1" t="s">
        <v>105</v>
      </c>
      <c r="J773" s="24">
        <v>3.47</v>
      </c>
      <c r="K773" s="24">
        <v>6.68</v>
      </c>
      <c r="L773" s="28">
        <v>3.21</v>
      </c>
      <c r="M773" s="1">
        <v>14</v>
      </c>
      <c r="N773" s="28">
        <v>93.52</v>
      </c>
      <c r="O773" s="29">
        <v>0.06</v>
      </c>
      <c r="P773" s="28">
        <v>5.6111999999999993</v>
      </c>
      <c r="Q773" s="28">
        <v>87.908799999999999</v>
      </c>
      <c r="R773" s="1" t="str">
        <f t="shared" ref="R773:R783" si="72">TEXT(B773,"mmm")</f>
        <v>Dec</v>
      </c>
      <c r="S773" s="28">
        <f t="shared" si="70"/>
        <v>48.580000000000005</v>
      </c>
      <c r="T773" s="28">
        <f t="shared" si="71"/>
        <v>39.328799999999994</v>
      </c>
      <c r="U773" s="11">
        <f t="shared" ref="U773:U783" si="73">IF(Q773=0,0,T773/Q773)</f>
        <v>0.44738183208051974</v>
      </c>
      <c r="V773" s="1" t="str">
        <f t="shared" ref="V773:V783" si="74">IF(C773&lt;=3,"Fast",IF(C773&lt;=7,"Standard",IF(C773&lt;=14,"Slow","Very Slow")))</f>
        <v>Very Slow</v>
      </c>
      <c r="W773" s="1" t="str">
        <f t="shared" ref="W773:W783" si="75">IF(OR(H773="Not Specifiedd",P773&lt;0),"Review","OK")</f>
        <v>OK</v>
      </c>
    </row>
    <row r="774" spans="1:23">
      <c r="A774" s="1">
        <v>57392</v>
      </c>
      <c r="B774" s="10">
        <v>46019</v>
      </c>
      <c r="C774" s="1">
        <v>15</v>
      </c>
      <c r="D774" s="1" t="s">
        <v>57</v>
      </c>
      <c r="E774" s="1" t="s">
        <v>67</v>
      </c>
      <c r="F774" s="1" t="s">
        <v>79</v>
      </c>
      <c r="G774" s="1" t="s">
        <v>81</v>
      </c>
      <c r="H774" s="1" t="s">
        <v>68</v>
      </c>
      <c r="I774" s="1" t="s">
        <v>147</v>
      </c>
      <c r="J774" s="24">
        <v>377.99</v>
      </c>
      <c r="K774" s="24">
        <v>599.99</v>
      </c>
      <c r="L774" s="28">
        <v>222</v>
      </c>
      <c r="M774" s="1">
        <v>38</v>
      </c>
      <c r="N774" s="28">
        <v>22799.62</v>
      </c>
      <c r="O774" s="29">
        <v>7.0000000000000007E-2</v>
      </c>
      <c r="P774" s="28">
        <v>1595.9734000000001</v>
      </c>
      <c r="Q774" s="28">
        <v>21203.6466</v>
      </c>
      <c r="R774" s="1" t="str">
        <f t="shared" si="72"/>
        <v>Dec</v>
      </c>
      <c r="S774" s="28">
        <f t="shared" ref="S774:S783" si="76">J774*M774</f>
        <v>14363.62</v>
      </c>
      <c r="T774" s="28">
        <f t="shared" ref="T774:T783" si="77">Q774-S774</f>
        <v>6840.0265999999992</v>
      </c>
      <c r="U774" s="11">
        <f t="shared" si="73"/>
        <v>0.32258727609617865</v>
      </c>
      <c r="V774" s="1" t="str">
        <f t="shared" si="74"/>
        <v>Very Slow</v>
      </c>
      <c r="W774" s="1" t="str">
        <f t="shared" si="75"/>
        <v>OK</v>
      </c>
    </row>
    <row r="775" spans="1:23">
      <c r="A775" s="1">
        <v>57393</v>
      </c>
      <c r="B775" s="10">
        <v>46020</v>
      </c>
      <c r="C775" s="1">
        <v>16</v>
      </c>
      <c r="D775" s="1" t="s">
        <v>57</v>
      </c>
      <c r="E775" s="1" t="s">
        <v>58</v>
      </c>
      <c r="F775" s="1" t="s">
        <v>79</v>
      </c>
      <c r="G775" s="1" t="s">
        <v>60</v>
      </c>
      <c r="H775" s="1" t="s">
        <v>70</v>
      </c>
      <c r="I775" s="1" t="s">
        <v>109</v>
      </c>
      <c r="J775" s="24">
        <v>8.92</v>
      </c>
      <c r="K775" s="24">
        <v>29.74</v>
      </c>
      <c r="L775" s="28">
        <v>20.82</v>
      </c>
      <c r="M775" s="1">
        <v>33</v>
      </c>
      <c r="N775" s="28">
        <v>981.42</v>
      </c>
      <c r="O775" s="29">
        <v>0</v>
      </c>
      <c r="P775" s="28">
        <v>0</v>
      </c>
      <c r="Q775" s="28">
        <v>981.42</v>
      </c>
      <c r="R775" s="1" t="str">
        <f t="shared" si="72"/>
        <v>Dec</v>
      </c>
      <c r="S775" s="28">
        <f t="shared" si="76"/>
        <v>294.36</v>
      </c>
      <c r="T775" s="28">
        <f t="shared" si="77"/>
        <v>687.06</v>
      </c>
      <c r="U775" s="11">
        <f t="shared" si="73"/>
        <v>0.70006724949562871</v>
      </c>
      <c r="V775" s="1" t="str">
        <f t="shared" si="74"/>
        <v>Very Slow</v>
      </c>
      <c r="W775" s="1" t="str">
        <f t="shared" si="75"/>
        <v>OK</v>
      </c>
    </row>
    <row r="776" spans="1:23">
      <c r="A776" s="1">
        <v>57394</v>
      </c>
      <c r="B776" s="10">
        <v>46020</v>
      </c>
      <c r="C776" s="1">
        <v>7</v>
      </c>
      <c r="D776" s="1" t="s">
        <v>78</v>
      </c>
      <c r="E776" s="1" t="s">
        <v>67</v>
      </c>
      <c r="F776" s="1" t="s">
        <v>83</v>
      </c>
      <c r="G776" s="1" t="s">
        <v>60</v>
      </c>
      <c r="H776" s="1" t="s">
        <v>70</v>
      </c>
      <c r="I776" s="1" t="s">
        <v>220</v>
      </c>
      <c r="J776" s="24">
        <v>1.0900000000000001</v>
      </c>
      <c r="K776" s="24">
        <v>1.82</v>
      </c>
      <c r="L776" s="28">
        <v>0.73</v>
      </c>
      <c r="M776" s="1">
        <v>40</v>
      </c>
      <c r="N776" s="28">
        <v>72.8</v>
      </c>
      <c r="O776" s="29">
        <v>0.05</v>
      </c>
      <c r="P776" s="28">
        <v>3.64</v>
      </c>
      <c r="Q776" s="28">
        <v>69.16</v>
      </c>
      <c r="R776" s="1" t="str">
        <f t="shared" si="72"/>
        <v>Dec</v>
      </c>
      <c r="S776" s="28">
        <f t="shared" si="76"/>
        <v>43.6</v>
      </c>
      <c r="T776" s="28">
        <f t="shared" si="77"/>
        <v>25.559999999999995</v>
      </c>
      <c r="U776" s="11">
        <f t="shared" si="73"/>
        <v>0.36957779063042218</v>
      </c>
      <c r="V776" s="1" t="str">
        <f t="shared" si="74"/>
        <v>Standard</v>
      </c>
      <c r="W776" s="1" t="str">
        <f t="shared" si="75"/>
        <v>OK</v>
      </c>
    </row>
    <row r="777" spans="1:23">
      <c r="A777" s="1">
        <v>57395</v>
      </c>
      <c r="B777" s="10">
        <v>46020</v>
      </c>
      <c r="C777" s="1">
        <v>22</v>
      </c>
      <c r="D777" s="1" t="s">
        <v>57</v>
      </c>
      <c r="E777" s="1" t="s">
        <v>87</v>
      </c>
      <c r="F777" s="1" t="s">
        <v>64</v>
      </c>
      <c r="G777" s="1" t="s">
        <v>60</v>
      </c>
      <c r="H777" s="1" t="s">
        <v>61</v>
      </c>
      <c r="I777" s="1" t="s">
        <v>167</v>
      </c>
      <c r="J777" s="24">
        <v>0.9</v>
      </c>
      <c r="K777" s="24">
        <v>2.1</v>
      </c>
      <c r="L777" s="28">
        <v>1.2</v>
      </c>
      <c r="M777" s="1">
        <v>30</v>
      </c>
      <c r="N777" s="28">
        <v>63</v>
      </c>
      <c r="O777" s="29">
        <v>0.04</v>
      </c>
      <c r="P777" s="28">
        <v>2.52</v>
      </c>
      <c r="Q777" s="28">
        <v>60.48</v>
      </c>
      <c r="R777" s="1" t="str">
        <f t="shared" si="72"/>
        <v>Dec</v>
      </c>
      <c r="S777" s="28">
        <f t="shared" si="76"/>
        <v>27</v>
      </c>
      <c r="T777" s="28">
        <f t="shared" si="77"/>
        <v>33.479999999999997</v>
      </c>
      <c r="U777" s="11">
        <f t="shared" si="73"/>
        <v>0.5535714285714286</v>
      </c>
      <c r="V777" s="1" t="str">
        <f t="shared" si="74"/>
        <v>Very Slow</v>
      </c>
      <c r="W777" s="1" t="str">
        <f t="shared" si="75"/>
        <v>OK</v>
      </c>
    </row>
    <row r="778" spans="1:23">
      <c r="A778" s="1">
        <v>57396</v>
      </c>
      <c r="B778" s="10">
        <v>46021</v>
      </c>
      <c r="C778" s="1">
        <v>1</v>
      </c>
      <c r="D778" s="1" t="s">
        <v>78</v>
      </c>
      <c r="E778" s="1" t="s">
        <v>67</v>
      </c>
      <c r="F778" s="1" t="s">
        <v>96</v>
      </c>
      <c r="G778" s="1" t="s">
        <v>60</v>
      </c>
      <c r="H778" s="1" t="s">
        <v>90</v>
      </c>
      <c r="I778" s="1" t="s">
        <v>169</v>
      </c>
      <c r="J778" s="24">
        <v>0.94</v>
      </c>
      <c r="K778" s="24">
        <v>2.08</v>
      </c>
      <c r="L778" s="28">
        <v>1.1399999999999999</v>
      </c>
      <c r="M778" s="1">
        <v>44</v>
      </c>
      <c r="N778" s="28">
        <v>91.52000000000001</v>
      </c>
      <c r="O778" s="29">
        <v>0.04</v>
      </c>
      <c r="P778" s="28">
        <v>3.6608000000000001</v>
      </c>
      <c r="Q778" s="28">
        <v>87.859200000000016</v>
      </c>
      <c r="R778" s="1" t="str">
        <f t="shared" si="72"/>
        <v>Dec</v>
      </c>
      <c r="S778" s="28">
        <f t="shared" si="76"/>
        <v>41.36</v>
      </c>
      <c r="T778" s="28">
        <f t="shared" si="77"/>
        <v>46.499200000000016</v>
      </c>
      <c r="U778" s="11">
        <f t="shared" si="73"/>
        <v>0.52924679487179493</v>
      </c>
      <c r="V778" s="1" t="str">
        <f t="shared" si="74"/>
        <v>Fast</v>
      </c>
      <c r="W778" s="1" t="str">
        <f t="shared" si="75"/>
        <v>OK</v>
      </c>
    </row>
    <row r="779" spans="1:23">
      <c r="A779" s="1">
        <v>57397</v>
      </c>
      <c r="B779" s="10">
        <v>46021</v>
      </c>
      <c r="C779" s="1">
        <v>2</v>
      </c>
      <c r="D779" s="1" t="s">
        <v>57</v>
      </c>
      <c r="E779" s="1" t="s">
        <v>87</v>
      </c>
      <c r="F779" s="1" t="s">
        <v>88</v>
      </c>
      <c r="G779" s="1" t="s">
        <v>60</v>
      </c>
      <c r="H779" s="1" t="s">
        <v>70</v>
      </c>
      <c r="I779" s="1" t="s">
        <v>91</v>
      </c>
      <c r="J779" s="24">
        <v>0.93</v>
      </c>
      <c r="K779" s="24">
        <v>1.48</v>
      </c>
      <c r="L779" s="28">
        <v>0.54999999999999993</v>
      </c>
      <c r="M779" s="1">
        <v>19</v>
      </c>
      <c r="N779" s="28">
        <v>28.12</v>
      </c>
      <c r="O779" s="29">
        <v>0</v>
      </c>
      <c r="P779" s="28">
        <v>0</v>
      </c>
      <c r="Q779" s="28">
        <v>28.12</v>
      </c>
      <c r="R779" s="1" t="str">
        <f t="shared" si="72"/>
        <v>Dec</v>
      </c>
      <c r="S779" s="28">
        <f t="shared" si="76"/>
        <v>17.670000000000002</v>
      </c>
      <c r="T779" s="28">
        <f t="shared" si="77"/>
        <v>10.45</v>
      </c>
      <c r="U779" s="11">
        <f t="shared" si="73"/>
        <v>0.3716216216216216</v>
      </c>
      <c r="V779" s="1" t="str">
        <f t="shared" si="74"/>
        <v>Fast</v>
      </c>
      <c r="W779" s="1" t="str">
        <f t="shared" si="75"/>
        <v>OK</v>
      </c>
    </row>
    <row r="780" spans="1:23">
      <c r="A780" s="1">
        <v>57398</v>
      </c>
      <c r="B780" s="10">
        <v>46021</v>
      </c>
      <c r="C780" s="1">
        <v>18</v>
      </c>
      <c r="D780" s="1" t="s">
        <v>57</v>
      </c>
      <c r="E780" s="1" t="s">
        <v>72</v>
      </c>
      <c r="F780" s="1" t="s">
        <v>73</v>
      </c>
      <c r="G780" s="1" t="s">
        <v>60</v>
      </c>
      <c r="H780" s="1" t="s">
        <v>68</v>
      </c>
      <c r="I780" s="1" t="s">
        <v>215</v>
      </c>
      <c r="J780" s="24">
        <v>4.03</v>
      </c>
      <c r="K780" s="24">
        <v>9.3800000000000008</v>
      </c>
      <c r="L780" s="28">
        <v>5.3500000000000014</v>
      </c>
      <c r="M780" s="1">
        <v>26</v>
      </c>
      <c r="N780" s="28">
        <v>243.88</v>
      </c>
      <c r="O780" s="29">
        <v>0.05</v>
      </c>
      <c r="P780" s="28">
        <v>12.194000000000001</v>
      </c>
      <c r="Q780" s="28">
        <v>231.68600000000001</v>
      </c>
      <c r="R780" s="1" t="str">
        <f t="shared" si="72"/>
        <v>Dec</v>
      </c>
      <c r="S780" s="28">
        <f t="shared" si="76"/>
        <v>104.78</v>
      </c>
      <c r="T780" s="28">
        <f t="shared" si="77"/>
        <v>126.90600000000001</v>
      </c>
      <c r="U780" s="11">
        <f t="shared" si="73"/>
        <v>0.54774997194478736</v>
      </c>
      <c r="V780" s="1" t="str">
        <f t="shared" si="74"/>
        <v>Very Slow</v>
      </c>
      <c r="W780" s="1" t="str">
        <f t="shared" si="75"/>
        <v>OK</v>
      </c>
    </row>
    <row r="781" spans="1:23">
      <c r="A781" s="1">
        <v>57399</v>
      </c>
      <c r="B781" s="10">
        <v>46022</v>
      </c>
      <c r="C781" s="1">
        <v>3</v>
      </c>
      <c r="D781" s="1" t="s">
        <v>78</v>
      </c>
      <c r="E781" s="1" t="s">
        <v>72</v>
      </c>
      <c r="F781" s="1" t="s">
        <v>96</v>
      </c>
      <c r="G781" s="1" t="s">
        <v>81</v>
      </c>
      <c r="H781" s="1" t="s">
        <v>61</v>
      </c>
      <c r="I781" s="1" t="s">
        <v>166</v>
      </c>
      <c r="J781" s="24">
        <v>20.18</v>
      </c>
      <c r="K781" s="24">
        <v>35.409999999999997</v>
      </c>
      <c r="L781" s="28">
        <v>15.23</v>
      </c>
      <c r="M781" s="1">
        <v>20</v>
      </c>
      <c r="N781" s="28">
        <v>708.19999999999993</v>
      </c>
      <c r="O781" s="29">
        <v>0.09</v>
      </c>
      <c r="P781" s="28">
        <v>63.737999999999992</v>
      </c>
      <c r="Q781" s="28">
        <v>644.46199999999999</v>
      </c>
      <c r="R781" s="1" t="str">
        <f t="shared" si="72"/>
        <v>Dec</v>
      </c>
      <c r="S781" s="28">
        <f t="shared" si="76"/>
        <v>403.6</v>
      </c>
      <c r="T781" s="28">
        <f t="shared" si="77"/>
        <v>240.86199999999997</v>
      </c>
      <c r="U781" s="11">
        <f t="shared" si="73"/>
        <v>0.37374119808460388</v>
      </c>
      <c r="V781" s="1" t="str">
        <f t="shared" si="74"/>
        <v>Fast</v>
      </c>
      <c r="W781" s="1" t="str">
        <f t="shared" si="75"/>
        <v>OK</v>
      </c>
    </row>
    <row r="782" spans="1:23">
      <c r="A782" s="1">
        <v>57400</v>
      </c>
      <c r="B782" s="10">
        <v>46022</v>
      </c>
      <c r="C782" s="1">
        <v>9</v>
      </c>
      <c r="D782" s="1" t="s">
        <v>78</v>
      </c>
      <c r="E782" s="1" t="s">
        <v>58</v>
      </c>
      <c r="F782" s="1" t="s">
        <v>88</v>
      </c>
      <c r="G782" s="1" t="s">
        <v>60</v>
      </c>
      <c r="H782" s="1" t="s">
        <v>90</v>
      </c>
      <c r="I782" s="1" t="s">
        <v>152</v>
      </c>
      <c r="J782" s="24">
        <v>1.59</v>
      </c>
      <c r="K782" s="24">
        <v>2.61</v>
      </c>
      <c r="L782" s="28">
        <v>1.02</v>
      </c>
      <c r="M782" s="1">
        <v>44</v>
      </c>
      <c r="N782" s="28">
        <v>114.84</v>
      </c>
      <c r="O782" s="29">
        <v>0.03</v>
      </c>
      <c r="P782" s="28">
        <v>3.4451999999999989</v>
      </c>
      <c r="Q782" s="28">
        <v>111.3948</v>
      </c>
      <c r="R782" s="1" t="str">
        <f t="shared" si="72"/>
        <v>Dec</v>
      </c>
      <c r="S782" s="28">
        <f t="shared" si="76"/>
        <v>69.960000000000008</v>
      </c>
      <c r="T782" s="28">
        <f t="shared" si="77"/>
        <v>41.434799999999996</v>
      </c>
      <c r="U782" s="11">
        <f t="shared" si="73"/>
        <v>0.37196350278469009</v>
      </c>
      <c r="V782" s="1" t="str">
        <f t="shared" si="74"/>
        <v>Slow</v>
      </c>
      <c r="W782" s="1" t="str">
        <f t="shared" si="75"/>
        <v>OK</v>
      </c>
    </row>
    <row r="783" spans="1:23">
      <c r="A783" s="1">
        <v>57401</v>
      </c>
      <c r="B783" s="10">
        <v>46022</v>
      </c>
      <c r="C783" s="1">
        <v>3</v>
      </c>
      <c r="D783" s="1" t="s">
        <v>57</v>
      </c>
      <c r="E783" s="1" t="s">
        <v>87</v>
      </c>
      <c r="F783" s="1" t="s">
        <v>84</v>
      </c>
      <c r="G783" s="1" t="s">
        <v>81</v>
      </c>
      <c r="H783" s="1" t="s">
        <v>90</v>
      </c>
      <c r="I783" s="1" t="s">
        <v>147</v>
      </c>
      <c r="J783" s="24">
        <v>377.99</v>
      </c>
      <c r="K783" s="24">
        <v>599.99</v>
      </c>
      <c r="L783" s="28">
        <v>222</v>
      </c>
      <c r="M783" s="1">
        <v>22</v>
      </c>
      <c r="N783" s="28">
        <v>13199.78</v>
      </c>
      <c r="O783" s="29">
        <v>7.0000000000000007E-2</v>
      </c>
      <c r="P783" s="28">
        <v>923.98460000000011</v>
      </c>
      <c r="Q783" s="28">
        <v>12275.795400000001</v>
      </c>
      <c r="R783" s="1" t="str">
        <f t="shared" si="72"/>
        <v>Dec</v>
      </c>
      <c r="S783" s="28">
        <f t="shared" si="76"/>
        <v>8315.7800000000007</v>
      </c>
      <c r="T783" s="28">
        <f t="shared" si="77"/>
        <v>3960.0154000000002</v>
      </c>
      <c r="U783" s="11">
        <f t="shared" si="73"/>
        <v>0.32258727609617865</v>
      </c>
      <c r="V783" s="1" t="str">
        <f t="shared" si="74"/>
        <v>Fast</v>
      </c>
      <c r="W783" s="1" t="str">
        <f t="shared" si="75"/>
        <v>OK</v>
      </c>
    </row>
  </sheetData>
  <autoFilter ref="A4:W783"/>
  <mergeCells count="2">
    <mergeCell ref="A1:W1"/>
    <mergeCell ref="A2:XFD2"/>
  </mergeCells>
  <conditionalFormatting sqref="W5:W783">
    <cfRule type="cellIs" dxfId="6" priority="1" operator="equal">
      <formula>"Review"</formula>
    </cfRule>
  </conditionalFormatting>
  <pageMargins left="0.75" right="0.75" top="1" bottom="1" header="0.5" footer="0.5"/>
  <pageSetup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showGridLines="0" workbookViewId="0">
      <pane ySplit="4" topLeftCell="A5" activePane="bottomLeft" state="frozen"/>
      <selection pane="bottomLeft" activeCell="F24" sqref="F24"/>
    </sheetView>
  </sheetViews>
  <sheetFormatPr defaultRowHeight="14.4"/>
  <cols>
    <col min="1" max="6" width="18" customWidth="1"/>
    <col min="7" max="7" width="10" customWidth="1"/>
  </cols>
  <sheetData>
    <row r="1" spans="1:8" ht="28.05" customHeight="1">
      <c r="A1" s="35" t="s">
        <v>230</v>
      </c>
      <c r="B1" s="36"/>
      <c r="C1" s="36"/>
      <c r="D1" s="36"/>
      <c r="E1" s="36"/>
      <c r="F1" s="36"/>
      <c r="G1" s="36"/>
      <c r="H1" s="36"/>
    </row>
    <row r="2" spans="1:8">
      <c r="A2" s="39" t="s">
        <v>231</v>
      </c>
      <c r="B2" s="36"/>
      <c r="C2" s="36"/>
      <c r="D2" s="36"/>
      <c r="E2" s="36"/>
      <c r="F2" s="36"/>
      <c r="G2" s="36"/>
      <c r="H2" s="36"/>
    </row>
    <row r="4" spans="1:8">
      <c r="A4" s="9" t="s">
        <v>8</v>
      </c>
      <c r="B4" s="9" t="s">
        <v>4</v>
      </c>
      <c r="C4" s="9" t="s">
        <v>9</v>
      </c>
      <c r="D4" s="9" t="s">
        <v>5</v>
      </c>
      <c r="E4" s="9" t="s">
        <v>6</v>
      </c>
      <c r="F4" s="9" t="s">
        <v>3</v>
      </c>
      <c r="G4" s="9" t="s">
        <v>232</v>
      </c>
    </row>
    <row r="5" spans="1:8">
      <c r="A5" s="19" t="s">
        <v>64</v>
      </c>
      <c r="B5" s="20">
        <f>COUNTIF(Orders_Clean!$F$2:$F$780,'Salesperson Analysis'!A5)</f>
        <v>104</v>
      </c>
      <c r="C5" s="21">
        <f>SUMIF(Orders_Clean!$F$2:$F$780,A5,Orders_Clean!$Q$2:$Q$780)</f>
        <v>120963.35500000001</v>
      </c>
      <c r="D5" s="6">
        <f>SUMIF(Orders_Clean!$F$2:$F$780,A5,Orders_Clean!$M$2:$M$780)</f>
        <v>2930</v>
      </c>
      <c r="E5" s="5">
        <f>IFERROR('Salesperson Analysis'!C5/'Salesperson Analysis'!B5,0)</f>
        <v>1163.1091826923077</v>
      </c>
      <c r="F5" s="5">
        <f>SUMIF(Orders_Clean!$F$5:$F$783,A5,Orders_Clean!$T$5:$T$783)</f>
        <v>52755.724999999984</v>
      </c>
      <c r="G5" s="1">
        <f>RANK(F5,$F$5:$F$17,0)</f>
        <v>1</v>
      </c>
    </row>
    <row r="6" spans="1:8">
      <c r="A6" s="19" t="s">
        <v>79</v>
      </c>
      <c r="B6" s="20">
        <f>COUNTIF(Orders_Clean!$F$2:$F$780,'Salesperson Analysis'!A6)</f>
        <v>52</v>
      </c>
      <c r="C6" s="21">
        <f>SUMIF(Orders_Clean!$F$2:$F$780,A6,Orders_Clean!$Q$2:$Q$780)</f>
        <v>105627.70560000003</v>
      </c>
      <c r="D6" s="6">
        <f>SUMIF(Orders_Clean!$F$2:$F$780,A6,Orders_Clean!$M$2:$M$780)</f>
        <v>1339</v>
      </c>
      <c r="E6" s="5">
        <f>IFERROR('Salesperson Analysis'!C6/'Salesperson Analysis'!B6,0)</f>
        <v>2031.3020307692314</v>
      </c>
      <c r="F6" s="5">
        <f>SUMIF(Orders_Clean!$F$5:$F$783,A6,Orders_Clean!$T$5:$T$783)</f>
        <v>38432.815600000002</v>
      </c>
      <c r="G6" s="22">
        <f t="shared" ref="G6:G17" si="0">RANK(E6,$E$5:$E$17,0)</f>
        <v>2</v>
      </c>
    </row>
    <row r="7" spans="1:8">
      <c r="A7" s="19" t="s">
        <v>73</v>
      </c>
      <c r="B7" s="20">
        <f>COUNTIF(Orders_Clean!$F$2:$F$780,'Salesperson Analysis'!A7)</f>
        <v>112</v>
      </c>
      <c r="C7" s="21">
        <f>SUMIF(Orders_Clean!$F$2:$F$780,A7,Orders_Clean!$Q$2:$Q$780)</f>
        <v>95586.719499999992</v>
      </c>
      <c r="D7" s="6">
        <f>SUMIF(Orders_Clean!$F$2:$F$780,A7,Orders_Clean!$M$2:$M$780)</f>
        <v>2970</v>
      </c>
      <c r="E7" s="5">
        <f>IFERROR('Salesperson Analysis'!C7/'Salesperson Analysis'!B7,0)</f>
        <v>853.45285267857139</v>
      </c>
      <c r="F7" s="5">
        <f>SUMIF(Orders_Clean!$F$5:$F$783,A7,Orders_Clean!$T$5:$T$783)</f>
        <v>46112.12950000001</v>
      </c>
      <c r="G7" s="22">
        <f t="shared" si="0"/>
        <v>10</v>
      </c>
    </row>
    <row r="8" spans="1:8">
      <c r="A8" s="19" t="s">
        <v>59</v>
      </c>
      <c r="B8" s="20">
        <f>COUNTIF(Orders_Clean!$F$2:$F$780,'Salesperson Analysis'!A8)</f>
        <v>110</v>
      </c>
      <c r="C8" s="21">
        <f>SUMIF(Orders_Clean!$F$2:$F$780,A8,Orders_Clean!$Q$2:$Q$780)</f>
        <v>88272.502399999983</v>
      </c>
      <c r="D8" s="6">
        <f>SUMIF(Orders_Clean!$F$2:$F$780,A8,Orders_Clean!$M$2:$M$780)</f>
        <v>3053</v>
      </c>
      <c r="E8" s="5">
        <f>IFERROR('Salesperson Analysis'!C8/'Salesperson Analysis'!B8,0)</f>
        <v>802.47729454545436</v>
      </c>
      <c r="F8" s="5">
        <f>SUMIF(Orders_Clean!$F$5:$F$783,A8,Orders_Clean!$T$5:$T$783)</f>
        <v>34289.162399999972</v>
      </c>
      <c r="G8" s="22">
        <f t="shared" si="0"/>
        <v>12</v>
      </c>
    </row>
    <row r="9" spans="1:8">
      <c r="A9" s="19" t="s">
        <v>98</v>
      </c>
      <c r="B9" s="20">
        <f>COUNTIF(Orders_Clean!$F$2:$F$780,'Salesperson Analysis'!A9)</f>
        <v>55</v>
      </c>
      <c r="C9" s="21">
        <f>SUMIF(Orders_Clean!$F$2:$F$780,A9,Orders_Clean!$Q$2:$Q$780)</f>
        <v>76239.294899999994</v>
      </c>
      <c r="D9" s="6">
        <f>SUMIF(Orders_Clean!$F$2:$F$780,A9,Orders_Clean!$M$2:$M$780)</f>
        <v>1584</v>
      </c>
      <c r="E9" s="5">
        <f>IFERROR('Salesperson Analysis'!C9/'Salesperson Analysis'!B9,0)</f>
        <v>1386.1689981818181</v>
      </c>
      <c r="F9" s="5">
        <f>SUMIF(Orders_Clean!$F$5:$F$783,A9,Orders_Clean!$T$5:$T$783)</f>
        <v>28900.904900000009</v>
      </c>
      <c r="G9" s="22">
        <f t="shared" si="0"/>
        <v>4</v>
      </c>
    </row>
    <row r="10" spans="1:8">
      <c r="A10" s="19" t="s">
        <v>108</v>
      </c>
      <c r="B10" s="20">
        <f>COUNTIF(Orders_Clean!$F$2:$F$780,'Salesperson Analysis'!A10)</f>
        <v>38</v>
      </c>
      <c r="C10" s="21">
        <f>SUMIF(Orders_Clean!$F$2:$F$780,A10,Orders_Clean!$Q$2:$Q$780)</f>
        <v>74020.827800000014</v>
      </c>
      <c r="D10" s="6">
        <f>SUMIF(Orders_Clean!$F$2:$F$780,A10,Orders_Clean!$M$2:$M$780)</f>
        <v>862</v>
      </c>
      <c r="E10" s="5">
        <f>IFERROR('Salesperson Analysis'!C10/'Salesperson Analysis'!B10,0)</f>
        <v>1947.9165210526319</v>
      </c>
      <c r="F10" s="5">
        <f>SUMIF(Orders_Clean!$F$5:$F$783,A10,Orders_Clean!$T$5:$T$783)</f>
        <v>33653.857799999998</v>
      </c>
      <c r="G10" s="22">
        <f t="shared" si="0"/>
        <v>3</v>
      </c>
    </row>
    <row r="11" spans="1:8">
      <c r="A11" s="19" t="s">
        <v>83</v>
      </c>
      <c r="B11" s="20">
        <f>COUNTIF(Orders_Clean!$F$2:$F$780,'Salesperson Analysis'!A11)</f>
        <v>13</v>
      </c>
      <c r="C11" s="21">
        <f>SUMIF(Orders_Clean!$F$2:$F$780,A11,Orders_Clean!$Q$2:$Q$780)</f>
        <v>72880.070999999996</v>
      </c>
      <c r="D11" s="6">
        <f>SUMIF(Orders_Clean!$F$2:$F$780,A11,Orders_Clean!$M$2:$M$780)</f>
        <v>396</v>
      </c>
      <c r="E11" s="5">
        <f>IFERROR('Salesperson Analysis'!C11/'Salesperson Analysis'!B11,0)</f>
        <v>5606.1593076923073</v>
      </c>
      <c r="F11" s="5">
        <f>SUMIF(Orders_Clean!$F$5:$F$783,A11,Orders_Clean!$T$5:$T$783)</f>
        <v>28524.560999999998</v>
      </c>
      <c r="G11" s="22">
        <f t="shared" si="0"/>
        <v>1</v>
      </c>
    </row>
    <row r="12" spans="1:8">
      <c r="A12" s="19" t="s">
        <v>100</v>
      </c>
      <c r="B12" s="20">
        <f>COUNTIF(Orders_Clean!$F$2:$F$780,'Salesperson Analysis'!A12)</f>
        <v>50</v>
      </c>
      <c r="C12" s="21">
        <f>SUMIF(Orders_Clean!$F$2:$F$780,A12,Orders_Clean!$Q$2:$Q$780)</f>
        <v>65786.384399999981</v>
      </c>
      <c r="D12" s="6">
        <f>SUMIF(Orders_Clean!$F$2:$F$780,A12,Orders_Clean!$M$2:$M$780)</f>
        <v>1550</v>
      </c>
      <c r="E12" s="5">
        <f>IFERROR('Salesperson Analysis'!C12/'Salesperson Analysis'!B12,0)</f>
        <v>1315.7276879999997</v>
      </c>
      <c r="F12" s="5">
        <f>SUMIF(Orders_Clean!$F$5:$F$783,A12,Orders_Clean!$T$5:$T$783)</f>
        <v>26500.604399999986</v>
      </c>
      <c r="G12" s="22">
        <f t="shared" si="0"/>
        <v>5</v>
      </c>
    </row>
    <row r="13" spans="1:8">
      <c r="A13" s="19" t="s">
        <v>84</v>
      </c>
      <c r="B13" s="20">
        <f>COUNTIF(Orders_Clean!$F$2:$F$780,'Salesperson Analysis'!A13)</f>
        <v>44</v>
      </c>
      <c r="C13" s="21">
        <f>SUMIF(Orders_Clean!$F$2:$F$780,A13,Orders_Clean!$Q$2:$Q$780)</f>
        <v>51399.285400000015</v>
      </c>
      <c r="D13" s="6">
        <f>SUMIF(Orders_Clean!$F$2:$F$780,A13,Orders_Clean!$M$2:$M$780)</f>
        <v>937</v>
      </c>
      <c r="E13" s="5">
        <f>IFERROR('Salesperson Analysis'!C13/'Salesperson Analysis'!B13,0)</f>
        <v>1168.1655772727277</v>
      </c>
      <c r="F13" s="5">
        <f>SUMIF(Orders_Clean!$F$5:$F$783,A13,Orders_Clean!$T$5:$T$783)</f>
        <v>24504.320800000001</v>
      </c>
      <c r="G13" s="22">
        <f t="shared" si="0"/>
        <v>7</v>
      </c>
    </row>
    <row r="14" spans="1:8">
      <c r="A14" s="19" t="s">
        <v>75</v>
      </c>
      <c r="B14" s="20">
        <f>COUNTIF(Orders_Clean!$F$2:$F$780,'Salesperson Analysis'!A14)</f>
        <v>70</v>
      </c>
      <c r="C14" s="21">
        <f>SUMIF(Orders_Clean!$F$2:$F$780,A14,Orders_Clean!$Q$2:$Q$780)</f>
        <v>57438.969799999984</v>
      </c>
      <c r="D14" s="6">
        <f>SUMIF(Orders_Clean!$F$2:$F$780,A14,Orders_Clean!$M$2:$M$780)</f>
        <v>1891</v>
      </c>
      <c r="E14" s="5">
        <f>IFERROR('Salesperson Analysis'!C14/'Salesperson Analysis'!B14,0)</f>
        <v>820.55671142857125</v>
      </c>
      <c r="F14" s="5">
        <f>SUMIF(Orders_Clean!$F$5:$F$783,A14,Orders_Clean!$T$5:$T$783)</f>
        <v>28291.759799999993</v>
      </c>
      <c r="G14" s="22">
        <f t="shared" si="0"/>
        <v>11</v>
      </c>
    </row>
    <row r="15" spans="1:8">
      <c r="A15" s="19" t="s">
        <v>18</v>
      </c>
      <c r="B15" s="20">
        <f>COUNTIF(Orders_Clean!$F$2:$F$780,'Salesperson Analysis'!A15)</f>
        <v>52</v>
      </c>
      <c r="C15" s="21">
        <f>SUMIF(Orders_Clean!$F$2:$F$780,A15,Orders_Clean!$Q$2:$Q$780)</f>
        <v>55961.527099999992</v>
      </c>
      <c r="D15" s="6">
        <f>SUMIF(Orders_Clean!$F$2:$F$780,A15,Orders_Clean!$M$2:$M$780)</f>
        <v>1319</v>
      </c>
      <c r="E15" s="5">
        <f>IFERROR('Salesperson Analysis'!C15/'Salesperson Analysis'!B15,0)</f>
        <v>1076.1832134615383</v>
      </c>
      <c r="F15" s="5">
        <f>SUMIF(Orders_Clean!$F$5:$F$783,A15,Orders_Clean!$T$5:$T$783)</f>
        <v>31625.817100000004</v>
      </c>
      <c r="G15" s="22">
        <f t="shared" si="0"/>
        <v>9</v>
      </c>
    </row>
    <row r="16" spans="1:8">
      <c r="A16" s="19" t="s">
        <v>96</v>
      </c>
      <c r="B16" s="20">
        <f>COUNTIF(Orders_Clean!$F$2:$F$780,'Salesperson Analysis'!A16)</f>
        <v>42</v>
      </c>
      <c r="C16" s="21">
        <f>SUMIF(Orders_Clean!$F$2:$F$780,A16,Orders_Clean!$Q$2:$Q$780)</f>
        <v>52944.98369999999</v>
      </c>
      <c r="D16" s="6">
        <f>SUMIF(Orders_Clean!$F$2:$F$780,A16,Orders_Clean!$M$2:$M$780)</f>
        <v>980</v>
      </c>
      <c r="E16" s="5">
        <f>IFERROR('Salesperson Analysis'!C16/'Salesperson Analysis'!B16,0)</f>
        <v>1260.5948499999997</v>
      </c>
      <c r="F16" s="5">
        <f>SUMIF(Orders_Clean!$F$5:$F$783,A16,Orders_Clean!$T$5:$T$783)</f>
        <v>24229.475699999992</v>
      </c>
      <c r="G16" s="22">
        <f t="shared" si="0"/>
        <v>6</v>
      </c>
    </row>
    <row r="17" spans="1:7">
      <c r="A17" s="19" t="s">
        <v>88</v>
      </c>
      <c r="B17" s="20">
        <f>COUNTIF(Orders_Clean!$F$2:$F$780,'Salesperson Analysis'!A17)</f>
        <v>34</v>
      </c>
      <c r="C17" s="21">
        <f>SUMIF(Orders_Clean!$F$2:$F$780,A17,Orders_Clean!$Q$2:$Q$780)</f>
        <v>16016.5195</v>
      </c>
      <c r="D17" s="6">
        <f>SUMIF(Orders_Clean!$F$2:$F$780,A17,Orders_Clean!$M$2:$M$780)</f>
        <v>963</v>
      </c>
      <c r="E17" s="5">
        <f>IFERROR('Salesperson Analysis'!C17/'Salesperson Analysis'!B17,0)</f>
        <v>471.07410294117648</v>
      </c>
      <c r="F17" s="5">
        <f>SUMIF(Orders_Clean!$F$5:$F$783,A17,Orders_Clean!$T$5:$T$783)</f>
        <v>6978.2143000000005</v>
      </c>
      <c r="G17" s="22">
        <f t="shared" si="0"/>
        <v>13</v>
      </c>
    </row>
  </sheetData>
  <mergeCells count="2">
    <mergeCell ref="A2:H2"/>
    <mergeCell ref="A1:H1"/>
  </mergeCells>
  <conditionalFormatting sqref="B5:B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{5EFD4458-733D-4EAD-9200-A25B7BCDB721}</x14:id>
        </ext>
      </extLst>
    </cfRule>
  </conditionalFormatting>
  <conditionalFormatting sqref="C5:C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{EE6AA4DB-62DB-4E0C-A891-710103364C7E}</x14:id>
        </ext>
      </extLst>
    </cfRule>
  </conditionalFormatting>
  <conditionalFormatting sqref="D5:D17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{B09BDD59-D1B3-4BFF-BA07-63356E35BBEE}</x14:id>
        </ext>
      </extLst>
    </cfRule>
  </conditionalFormatting>
  <conditionalFormatting sqref="E5:E17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{490C63A8-B8AD-40EC-8C6E-44AA820D16F9}</x14:id>
        </ext>
      </extLst>
    </cfRule>
  </conditionalFormatting>
  <conditionalFormatting sqref="F5:F17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{5A9742EC-2BC9-40F8-8D95-EDD8CA8073E1}</x14:id>
        </ext>
      </extLst>
    </cfRule>
  </conditionalFormatting>
  <pageMargins left="0.75" right="0.75" top="1" bottom="1" header="0.5" footer="0.5"/>
  <pageSetup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FD4458-733D-4EAD-9200-A25B7BCDB7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B5:B17</xm:sqref>
        </x14:conditionalFormatting>
        <x14:conditionalFormatting xmlns:xm="http://schemas.microsoft.com/office/excel/2006/main">
          <x14:cfRule type="dataBar" id="{EE6AA4DB-62DB-4E0C-A891-710103364C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C5:C17</xm:sqref>
        </x14:conditionalFormatting>
        <x14:conditionalFormatting xmlns:xm="http://schemas.microsoft.com/office/excel/2006/main">
          <x14:cfRule type="dataBar" id="{B09BDD59-D1B3-4BFF-BA07-63356E35BBEE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D5:D17</xm:sqref>
        </x14:conditionalFormatting>
        <x14:conditionalFormatting xmlns:xm="http://schemas.microsoft.com/office/excel/2006/main">
          <x14:cfRule type="dataBar" id="{490C63A8-B8AD-40EC-8C6E-44AA820D16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E5:E17</xm:sqref>
        </x14:conditionalFormatting>
        <x14:conditionalFormatting xmlns:xm="http://schemas.microsoft.com/office/excel/2006/main">
          <x14:cfRule type="dataBar" id="{5A9742EC-2BC9-40F8-8D95-EDD8CA8073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F5:F17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showGridLines="0" workbookViewId="0">
      <pane ySplit="4" topLeftCell="A5" activePane="bottomLeft" state="frozen"/>
      <selection pane="bottomLeft" activeCell="B14" sqref="B14"/>
    </sheetView>
  </sheetViews>
  <sheetFormatPr defaultRowHeight="14.4"/>
  <cols>
    <col min="1" max="5" width="18" customWidth="1"/>
  </cols>
  <sheetData>
    <row r="1" spans="1:8" ht="28.05" customHeight="1">
      <c r="A1" s="35" t="s">
        <v>233</v>
      </c>
      <c r="B1" s="36"/>
      <c r="C1" s="36"/>
      <c r="D1" s="36"/>
      <c r="E1" s="36"/>
      <c r="F1" s="36"/>
      <c r="G1" s="36"/>
      <c r="H1" s="36"/>
    </row>
    <row r="2" spans="1:8">
      <c r="A2" s="39" t="s">
        <v>234</v>
      </c>
      <c r="B2" s="36"/>
      <c r="C2" s="36"/>
      <c r="D2" s="36"/>
      <c r="E2" s="36"/>
      <c r="F2" s="36"/>
      <c r="G2" s="36"/>
      <c r="H2" s="36"/>
    </row>
    <row r="4" spans="1:8">
      <c r="A4" s="9" t="s">
        <v>12</v>
      </c>
      <c r="B4" s="9" t="s">
        <v>4</v>
      </c>
      <c r="C4" s="9" t="s">
        <v>9</v>
      </c>
      <c r="D4" s="9" t="s">
        <v>5</v>
      </c>
      <c r="E4" s="9" t="s">
        <v>6</v>
      </c>
      <c r="F4" s="23" t="s">
        <v>375</v>
      </c>
    </row>
    <row r="5" spans="1:8">
      <c r="A5" s="1" t="s">
        <v>58</v>
      </c>
      <c r="B5" s="1">
        <f>COUNTIF(Orders_Clean!$E$5:$E$783,A5)</f>
        <v>140</v>
      </c>
      <c r="C5" s="28">
        <f>SUMIF(Orders_Clean!$E$5:$E$783,A5,Orders_Clean!$Q$5:$Q$783)</f>
        <v>167363.29670000004</v>
      </c>
      <c r="D5" s="6">
        <f>SUMIF(Orders_Clean!$E$5:$E$783,A5,Orders_Clean!$N$5:$N$783)</f>
        <v>176445.35</v>
      </c>
      <c r="E5" s="5">
        <f>IF(B5=0,0,C5/B5)</f>
        <v>1195.4521192857146</v>
      </c>
      <c r="F5" s="26">
        <f>SUMIF('Customer Analysis'!$A$5:$A$8,'Customer Analysis'!A5,Orders_Clean!$U$758:$U$783)</f>
        <v>0.35815147625160465</v>
      </c>
    </row>
    <row r="6" spans="1:8">
      <c r="A6" s="1" t="s">
        <v>72</v>
      </c>
      <c r="B6" s="1">
        <f>COUNTIF(Orders_Clean!$E$5:$E$783,A6)</f>
        <v>275</v>
      </c>
      <c r="C6" s="28">
        <f>SUMIF(Orders_Clean!$E$5:$E$783,A6,Orders_Clean!$Q$5:$Q$783)</f>
        <v>369291.80419999966</v>
      </c>
      <c r="D6" s="6">
        <f>SUMIF(Orders_Clean!$E$5:$E$783,A6,Orders_Clean!$N$5:$N$783)</f>
        <v>392865.07999999961</v>
      </c>
      <c r="E6" s="5">
        <f>IF(B6=0,0,C6/B6)</f>
        <v>1342.8792879999987</v>
      </c>
      <c r="F6" s="26">
        <f>SUMIF('Customer Analysis'!$A$5:$A$8,'Customer Analysis'!A6,Orders_Clean!$U$758:$U$783)</f>
        <v>0.39673885607552123</v>
      </c>
    </row>
    <row r="7" spans="1:8">
      <c r="A7" s="1" t="s">
        <v>87</v>
      </c>
      <c r="B7" s="1">
        <f>COUNTIF(Orders_Clean!$E$5:$E$783,A7)</f>
        <v>203</v>
      </c>
      <c r="C7" s="28">
        <f>SUMIF(Orders_Clean!$E$5:$E$783,A7,Orders_Clean!$Q$5:$Q$783)</f>
        <v>220046.85589999991</v>
      </c>
      <c r="D7" s="6">
        <f>SUMIF(Orders_Clean!$E$5:$E$783,A7,Orders_Clean!$N$5:$N$783)</f>
        <v>234916.9</v>
      </c>
      <c r="E7" s="5">
        <f>IF(B7=0,0,C7/B7)</f>
        <v>1083.9746596059108</v>
      </c>
      <c r="F7" s="26">
        <f>SUMIF('Customer Analysis'!$A$5:$A$8,'Customer Analysis'!A7,Orders_Clean!$U$758:$U$783)</f>
        <v>0.50396825396825395</v>
      </c>
    </row>
    <row r="8" spans="1:8">
      <c r="A8" s="1" t="s">
        <v>67</v>
      </c>
      <c r="B8" s="1">
        <f>COUNTIF(Orders_Clean!$E$5:$E$783,A8)</f>
        <v>161</v>
      </c>
      <c r="C8" s="28">
        <f>SUMIF(Orders_Clean!$E$5:$E$783,A8,Orders_Clean!$Q$5:$Q$783)</f>
        <v>189467.8415000001</v>
      </c>
      <c r="D8" s="6">
        <f>SUMIF(Orders_Clean!$E$5:$E$783,A8,Orders_Clean!$N$5:$N$783)</f>
        <v>198167.63000000003</v>
      </c>
      <c r="E8" s="5">
        <f>IF(B8=0,0,C8/B8)</f>
        <v>1176.8188913043484</v>
      </c>
      <c r="F8" s="26">
        <f>SUMIF('Customer Analysis'!$A$5:$A$8,'Customer Analysis'!A8,Orders_Clean!$U$758:$U$783)</f>
        <v>0.34733833870219727</v>
      </c>
    </row>
  </sheetData>
  <mergeCells count="2">
    <mergeCell ref="A2:H2"/>
    <mergeCell ref="A1:H1"/>
  </mergeCells>
  <conditionalFormatting sqref="B5:F8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{6F61C05D-80FD-430C-87DF-7BBCE88A0A0F}</x14:id>
        </ext>
      </extLst>
    </cfRule>
  </conditionalFormatting>
  <conditionalFormatting sqref="E5:F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{B4DCCED0-5593-48B9-A701-598CFF7C8F5B}</x14:id>
        </ext>
      </extLst>
    </cfRule>
  </conditionalFormatting>
  <conditionalFormatting sqref="F5:F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{0EA78C68-A200-41AC-A7D5-41030739A889}</x14:id>
        </ext>
      </extLst>
    </cfRule>
  </conditionalFormatting>
  <pageMargins left="0.75" right="0.75" top="1" bottom="1" header="0.5" footer="0.5"/>
  <pageSetup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61C05D-80FD-430C-87DF-7BBCE88A0A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B5:F8</xm:sqref>
        </x14:conditionalFormatting>
        <x14:conditionalFormatting xmlns:xm="http://schemas.microsoft.com/office/excel/2006/main">
          <x14:cfRule type="dataBar" id="{B4DCCED0-5593-48B9-A701-598CFF7C8F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E5:F8</xm:sqref>
        </x14:conditionalFormatting>
        <x14:conditionalFormatting xmlns:xm="http://schemas.microsoft.com/office/excel/2006/main">
          <x14:cfRule type="dataBar" id="{0EA78C68-A200-41AC-A7D5-41030739A8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F5:F8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showGridLines="0" workbookViewId="0">
      <pane ySplit="4" topLeftCell="A5" activePane="bottomLeft" state="frozen"/>
      <selection pane="bottomLeft" activeCell="J14" sqref="J14"/>
    </sheetView>
  </sheetViews>
  <sheetFormatPr defaultRowHeight="14.4"/>
  <cols>
    <col min="1" max="5" width="18" customWidth="1"/>
  </cols>
  <sheetData>
    <row r="1" spans="1:8" ht="28.05" customHeight="1">
      <c r="A1" s="35" t="s">
        <v>235</v>
      </c>
      <c r="B1" s="36"/>
      <c r="C1" s="36"/>
      <c r="D1" s="36"/>
      <c r="E1" s="36"/>
      <c r="F1" s="36"/>
      <c r="G1" s="36"/>
      <c r="H1" s="36"/>
    </row>
    <row r="2" spans="1:8">
      <c r="A2" s="39" t="s">
        <v>236</v>
      </c>
      <c r="B2" s="36"/>
      <c r="C2" s="36"/>
      <c r="D2" s="36"/>
      <c r="E2" s="36"/>
      <c r="F2" s="36"/>
      <c r="G2" s="36"/>
      <c r="H2" s="36"/>
    </row>
    <row r="4" spans="1:8">
      <c r="A4" s="9" t="s">
        <v>11</v>
      </c>
      <c r="B4" s="9" t="s">
        <v>4</v>
      </c>
      <c r="C4" s="9" t="s">
        <v>9</v>
      </c>
      <c r="D4" s="9" t="s">
        <v>5</v>
      </c>
      <c r="E4" s="9" t="s">
        <v>6</v>
      </c>
    </row>
    <row r="5" spans="1:8">
      <c r="A5" s="1" t="s">
        <v>57</v>
      </c>
      <c r="B5" s="1">
        <f>COUNTIF(Orders_Clean!$D$5:$D$783,A5)</f>
        <v>447</v>
      </c>
      <c r="C5" s="28">
        <f>SUMIF(Orders_Clean!$D$5:$D$783,A5,Orders_Clean!$Q$5:$Q$783)</f>
        <v>578438.14170000015</v>
      </c>
      <c r="D5" s="6">
        <f>SUMIF(Orders_Clean!$D$5:$D$783,A5,Orders_Clean!$M$5:$M$783)</f>
        <v>11711</v>
      </c>
      <c r="E5" s="5">
        <f>IF(B5=0,0,C5/B5)</f>
        <v>1294.0450597315439</v>
      </c>
    </row>
    <row r="6" spans="1:8">
      <c r="A6" s="1" t="s">
        <v>78</v>
      </c>
      <c r="B6" s="25">
        <f>COUNTIF(Orders_Clean!$D$5:$D$783,A6)</f>
        <v>184</v>
      </c>
      <c r="C6" s="28">
        <f>SUMIF(Orders_Clean!$D$5:$D$783,A6,Orders_Clean!$Q$5:$Q$783)</f>
        <v>210288.42690000002</v>
      </c>
      <c r="D6" s="6">
        <f>SUMIF(Orders_Clean!$D$5:$D$783,A6,Orders_Clean!$M$5:$M$783)</f>
        <v>4943</v>
      </c>
      <c r="E6" s="5">
        <f>IF(B6=0,0,C6/B6)</f>
        <v>1142.8718853260871</v>
      </c>
    </row>
    <row r="7" spans="1:8">
      <c r="A7" s="1" t="s">
        <v>63</v>
      </c>
      <c r="B7" s="25">
        <f>COUNTIF(Orders_Clean!$D$5:$D$783,A7)</f>
        <v>148</v>
      </c>
      <c r="C7" s="28">
        <f>SUMIF(Orders_Clean!$D$5:$D$783,A7,Orders_Clean!$Q$5:$Q$783)</f>
        <v>157443.22970000005</v>
      </c>
      <c r="D7" s="6">
        <f>SUMIF(Orders_Clean!$D$5:$D$783,A7,Orders_Clean!$M$5:$M$783)</f>
        <v>4206</v>
      </c>
      <c r="E7" s="5">
        <f>IF(B7=0,0,C7/B7)</f>
        <v>1063.8056060810814</v>
      </c>
    </row>
  </sheetData>
  <mergeCells count="2">
    <mergeCell ref="A2:H2"/>
    <mergeCell ref="A1:H1"/>
  </mergeCells>
  <pageMargins left="0.75" right="0.75" top="1" bottom="1" header="0.5" footer="0.5"/>
  <pageSetup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showGridLines="0" workbookViewId="0">
      <pane ySplit="4" topLeftCell="A5" activePane="bottomLeft" state="frozen"/>
      <selection pane="bottomLeft" activeCell="D5" sqref="D5:D7"/>
    </sheetView>
  </sheetViews>
  <sheetFormatPr defaultRowHeight="14.4"/>
  <cols>
    <col min="1" max="4" width="18" customWidth="1"/>
  </cols>
  <sheetData>
    <row r="1" spans="1:8" ht="28.05" customHeight="1">
      <c r="A1" s="35" t="s">
        <v>237</v>
      </c>
      <c r="B1" s="36"/>
      <c r="C1" s="36"/>
      <c r="D1" s="36"/>
      <c r="E1" s="36"/>
      <c r="F1" s="36"/>
      <c r="G1" s="36"/>
      <c r="H1" s="36"/>
    </row>
    <row r="2" spans="1:8">
      <c r="A2" s="39" t="s">
        <v>238</v>
      </c>
      <c r="B2" s="36"/>
      <c r="C2" s="36"/>
      <c r="D2" s="36"/>
      <c r="E2" s="36"/>
      <c r="F2" s="36"/>
      <c r="G2" s="36"/>
      <c r="H2" s="36"/>
    </row>
    <row r="4" spans="1:8">
      <c r="A4" s="9" t="s">
        <v>10</v>
      </c>
      <c r="B4" s="9" t="s">
        <v>5</v>
      </c>
      <c r="C4" s="9" t="s">
        <v>9</v>
      </c>
      <c r="D4" s="31" t="s">
        <v>3</v>
      </c>
    </row>
    <row r="5" spans="1:8">
      <c r="A5" s="1" t="s">
        <v>85</v>
      </c>
      <c r="B5" s="6">
        <f>SUMIF(Orders_Clean!$G$5:$G$783,A5,Orders_Clean!$M$5:$M$783)</f>
        <v>478</v>
      </c>
      <c r="C5" s="24">
        <f>SUMIF(Orders_Clean!$G$5:$G$783,A5,Orders_Clean!$Q$5:$Q$783)</f>
        <v>24961.8737</v>
      </c>
      <c r="D5" s="28">
        <f>SUMIF(Orders_Clean!$G$5:$G$783,A5,Orders_Clean!$T$5:$T$783)</f>
        <v>13651.033699999996</v>
      </c>
    </row>
    <row r="6" spans="1:8">
      <c r="A6" s="1" t="s">
        <v>60</v>
      </c>
      <c r="B6" s="6">
        <f>SUMIF(Orders_Clean!$G$5:$G$783,A6,Orders_Clean!$M$5:$M$783)</f>
        <v>16669</v>
      </c>
      <c r="C6" s="24">
        <f>SUMIF(Orders_Clean!$G$5:$G$783,A6,Orders_Clean!$Q$5:$Q$783)</f>
        <v>266028.18439999985</v>
      </c>
      <c r="D6" s="28">
        <f>SUMIF(Orders_Clean!$G$5:$G$783,A6,Orders_Clean!$T$5:$T$783)</f>
        <v>119488.44440000002</v>
      </c>
    </row>
    <row r="7" spans="1:8">
      <c r="A7" s="1" t="s">
        <v>81</v>
      </c>
      <c r="B7" s="6">
        <f>SUMIF(Orders_Clean!$G$5:$G$783,A7,Orders_Clean!$M$5:$M$783)</f>
        <v>3713</v>
      </c>
      <c r="C7" s="24">
        <f>SUMIF(Orders_Clean!$G$5:$G$783,A7,Orders_Clean!$Q$5:$Q$783)</f>
        <v>655179.74020000012</v>
      </c>
      <c r="D7" s="28">
        <f>SUMIF(Orders_Clean!$G$5:$G$783,A7,Orders_Clean!$T$5:$T$783)</f>
        <v>271659.8702</v>
      </c>
    </row>
  </sheetData>
  <mergeCells count="2">
    <mergeCell ref="A2:H2"/>
    <mergeCell ref="A1:H1"/>
  </mergeCells>
  <pageMargins left="0.75" right="0.75" top="1" bottom="1" header="0.5" footer="0.5"/>
  <pageSetup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6"/>
  <sheetViews>
    <sheetView showGridLines="0" workbookViewId="0">
      <pane ySplit="4" topLeftCell="A5" activePane="bottomLeft" state="frozen"/>
      <selection pane="bottomLeft" activeCell="E13" sqref="E13"/>
    </sheetView>
  </sheetViews>
  <sheetFormatPr defaultRowHeight="14.4"/>
  <cols>
    <col min="1" max="4" width="18" customWidth="1"/>
  </cols>
  <sheetData>
    <row r="1" spans="1:8" ht="28.05" customHeight="1">
      <c r="A1" s="35" t="s">
        <v>239</v>
      </c>
      <c r="B1" s="36"/>
      <c r="C1" s="36"/>
      <c r="D1" s="36"/>
      <c r="E1" s="36"/>
      <c r="F1" s="36"/>
      <c r="G1" s="36"/>
      <c r="H1" s="36"/>
    </row>
    <row r="2" spans="1:8">
      <c r="A2" s="39" t="s">
        <v>240</v>
      </c>
      <c r="B2" s="36"/>
      <c r="C2" s="36"/>
      <c r="D2" s="36"/>
      <c r="E2" s="36"/>
      <c r="F2" s="36"/>
      <c r="G2" s="36"/>
      <c r="H2" s="36"/>
    </row>
    <row r="4" spans="1:8">
      <c r="A4" s="9" t="s">
        <v>14</v>
      </c>
      <c r="B4" s="9" t="s">
        <v>4</v>
      </c>
      <c r="C4" s="9" t="s">
        <v>9</v>
      </c>
      <c r="D4" s="9" t="s">
        <v>3</v>
      </c>
    </row>
    <row r="5" spans="1:8">
      <c r="A5" s="1" t="s">
        <v>241</v>
      </c>
      <c r="B5" s="6">
        <f>COUNTIF(Orders_Clean!$R$5:$R$783,A5)</f>
        <v>65</v>
      </c>
      <c r="C5" s="28">
        <f>SUMIF(Orders_Clean!$R$5:$R$783,A5,Orders_Clean!$Q$5:$Q$783)</f>
        <v>56974.562299999998</v>
      </c>
      <c r="D5" s="28">
        <f>SUMIF(Orders_Clean!$R$5:$R$783,A5,Orders_Clean!$T$5:$T$783)</f>
        <v>28096.872299999992</v>
      </c>
    </row>
    <row r="6" spans="1:8">
      <c r="A6" s="1" t="s">
        <v>242</v>
      </c>
      <c r="B6" s="6">
        <f>COUNTIF(Orders_Clean!$R$5:$R$783,A6)</f>
        <v>53</v>
      </c>
      <c r="C6" s="28">
        <f>SUMIF(Orders_Clean!$R$5:$R$783,A6,Orders_Clean!$Q$5:$Q$783)</f>
        <v>58662.095600000001</v>
      </c>
      <c r="D6" s="28">
        <f>SUMIF(Orders_Clean!$R$5:$R$783,A6,Orders_Clean!$T$5:$T$783)</f>
        <v>28564.575600000007</v>
      </c>
    </row>
    <row r="7" spans="1:8">
      <c r="A7" s="1" t="s">
        <v>243</v>
      </c>
      <c r="B7" s="6">
        <f>COUNTIF(Orders_Clean!$R$5:$R$783,A7)</f>
        <v>75</v>
      </c>
      <c r="C7" s="28">
        <f>SUMIF(Orders_Clean!$R$5:$R$783,A7,Orders_Clean!$Q$5:$Q$783)</f>
        <v>143970.11760000003</v>
      </c>
      <c r="D7" s="28">
        <f>SUMIF(Orders_Clean!$R$5:$R$783,A7,Orders_Clean!$T$5:$T$783)</f>
        <v>56520.5576</v>
      </c>
    </row>
    <row r="8" spans="1:8">
      <c r="A8" s="1" t="s">
        <v>244</v>
      </c>
      <c r="B8" s="6">
        <f>COUNTIF(Orders_Clean!$R$5:$R$783,A8)</f>
        <v>58</v>
      </c>
      <c r="C8" s="28">
        <f>SUMIF(Orders_Clean!$R$5:$R$783,A8,Orders_Clean!$Q$5:$Q$783)</f>
        <v>54408.572000000007</v>
      </c>
      <c r="D8" s="28">
        <f>SUMIF(Orders_Clean!$R$5:$R$783,A8,Orders_Clean!$T$5:$T$783)</f>
        <v>23119.222000000005</v>
      </c>
    </row>
    <row r="9" spans="1:8">
      <c r="A9" s="1" t="s">
        <v>245</v>
      </c>
      <c r="B9" s="6">
        <f>COUNTIF(Orders_Clean!$R$5:$R$783,A9)</f>
        <v>66</v>
      </c>
      <c r="C9" s="28">
        <f>SUMIF(Orders_Clean!$R$5:$R$783,A9,Orders_Clean!$Q$5:$Q$783)</f>
        <v>87835.631100000013</v>
      </c>
      <c r="D9" s="28">
        <f>SUMIF(Orders_Clean!$R$5:$R$783,A9,Orders_Clean!$T$5:$T$783)</f>
        <v>35691.981100000005</v>
      </c>
    </row>
    <row r="10" spans="1:8">
      <c r="A10" s="1" t="s">
        <v>246</v>
      </c>
      <c r="B10" s="6">
        <f>COUNTIF(Orders_Clean!$R$5:$R$783,A10)</f>
        <v>61</v>
      </c>
      <c r="C10" s="28">
        <f>SUMIF(Orders_Clean!$R$5:$R$783,A10,Orders_Clean!$Q$5:$Q$783)</f>
        <v>93178.520099999994</v>
      </c>
      <c r="D10" s="28">
        <f>SUMIF(Orders_Clean!$R$5:$R$783,A10,Orders_Clean!$T$5:$T$783)</f>
        <v>35740.990099999981</v>
      </c>
    </row>
    <row r="11" spans="1:8">
      <c r="A11" s="1" t="s">
        <v>247</v>
      </c>
      <c r="B11" s="6">
        <f>COUNTIF(Orders_Clean!$R$5:$R$783,A11)</f>
        <v>68</v>
      </c>
      <c r="C11" s="28">
        <f>SUMIF(Orders_Clean!$R$5:$R$783,A11,Orders_Clean!$Q$5:$Q$783)</f>
        <v>105093.68580000001</v>
      </c>
      <c r="D11" s="28">
        <f>SUMIF(Orders_Clean!$R$5:$R$783,A11,Orders_Clean!$T$5:$T$783)</f>
        <v>44949.255799999999</v>
      </c>
    </row>
    <row r="12" spans="1:8">
      <c r="A12" s="1" t="s">
        <v>248</v>
      </c>
      <c r="B12" s="6">
        <f>COUNTIF(Orders_Clean!$R$5:$R$783,A12)</f>
        <v>67</v>
      </c>
      <c r="C12" s="28">
        <f>SUMIF(Orders_Clean!$R$5:$R$783,A12,Orders_Clean!$Q$5:$Q$783)</f>
        <v>43467.029399999992</v>
      </c>
      <c r="D12" s="28">
        <f>SUMIF(Orders_Clean!$R$5:$R$783,A12,Orders_Clean!$T$5:$T$783)</f>
        <v>21362.229399999993</v>
      </c>
    </row>
    <row r="13" spans="1:8">
      <c r="A13" s="1" t="s">
        <v>249</v>
      </c>
      <c r="B13" s="6">
        <f>COUNTIF(Orders_Clean!$R$5:$R$783,A13)</f>
        <v>65</v>
      </c>
      <c r="C13" s="28">
        <f>SUMIF(Orders_Clean!$R$5:$R$783,A13,Orders_Clean!$Q$5:$Q$783)</f>
        <v>73635.172499999986</v>
      </c>
      <c r="D13" s="28">
        <f>SUMIF(Orders_Clean!$R$5:$R$783,A13,Orders_Clean!$T$5:$T$783)</f>
        <v>29101.302500000002</v>
      </c>
    </row>
    <row r="14" spans="1:8">
      <c r="A14" s="1" t="s">
        <v>250</v>
      </c>
      <c r="B14" s="6">
        <f>COUNTIF(Orders_Clean!$R$5:$R$783,A14)</f>
        <v>66</v>
      </c>
      <c r="C14" s="28">
        <f>SUMIF(Orders_Clean!$R$5:$R$783,A14,Orders_Clean!$Q$5:$Q$783)</f>
        <v>54593.491800000003</v>
      </c>
      <c r="D14" s="28">
        <f>SUMIF(Orders_Clean!$R$5:$R$783,A14,Orders_Clean!$T$5:$T$783)</f>
        <v>23033.4018</v>
      </c>
    </row>
    <row r="15" spans="1:8">
      <c r="A15" s="1" t="s">
        <v>251</v>
      </c>
      <c r="B15" s="6">
        <f>COUNTIF(Orders_Clean!$R$5:$R$783,A15)</f>
        <v>58</v>
      </c>
      <c r="C15" s="28">
        <f>SUMIF(Orders_Clean!$R$5:$R$783,A15,Orders_Clean!$Q$5:$Q$783)</f>
        <v>59446.994099999982</v>
      </c>
      <c r="D15" s="28">
        <f>SUMIF(Orders_Clean!$R$5:$R$783,A15,Orders_Clean!$T$5:$T$783)</f>
        <v>30447.414099999998</v>
      </c>
    </row>
    <row r="16" spans="1:8">
      <c r="A16" s="1" t="s">
        <v>252</v>
      </c>
      <c r="B16" s="6">
        <f>COUNTIF(Orders_Clean!$R$5:$R$783,A16)</f>
        <v>77</v>
      </c>
      <c r="C16" s="28">
        <f>SUMIF(Orders_Clean!$R$5:$R$783,A16,Orders_Clean!$Q$5:$Q$783)</f>
        <v>114903.92600000001</v>
      </c>
      <c r="D16" s="28">
        <f>SUMIF(Orders_Clean!$R$5:$R$783,A16,Orders_Clean!$T$5:$T$783)</f>
        <v>48171.545999999988</v>
      </c>
    </row>
  </sheetData>
  <mergeCells count="2">
    <mergeCell ref="A2:H2"/>
    <mergeCell ref="A1:H1"/>
  </mergeCells>
  <conditionalFormatting sqref="B5:D16">
    <cfRule type="dataBar" priority="1">
      <dataBar>
        <cfvo type="min"/>
        <cfvo type="max"/>
        <color theme="6" tint="0.59999389629810485"/>
      </dataBar>
      <extLst>
        <ext xmlns:x14="http://schemas.microsoft.com/office/spreadsheetml/2009/9/main" uri="{B025F937-C7B1-47D3-B67F-A62EFF666E3E}">
          <x14:id>{9AC7289F-93BE-4458-93E1-903DC6C47A13}</x14:id>
        </ext>
      </extLst>
    </cfRule>
  </conditionalFormatting>
  <pageMargins left="0.75" right="0.75" top="1" bottom="1" header="0.5" footer="0.5"/>
  <pageSetup fitToHeight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AC7289F-93BE-4458-93E1-903DC6C47A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B5:D16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showGridLines="0" workbookViewId="0">
      <pane ySplit="4" topLeftCell="A5" activePane="bottomLeft" state="frozen"/>
      <selection pane="bottomLeft" activeCell="G9" sqref="G9"/>
    </sheetView>
  </sheetViews>
  <sheetFormatPr defaultRowHeight="14.4"/>
  <cols>
    <col min="1" max="2" width="18" customWidth="1"/>
    <col min="3" max="3" width="21" customWidth="1"/>
    <col min="4" max="4" width="18" customWidth="1"/>
    <col min="5" max="5" width="11.88671875" bestFit="1" customWidth="1"/>
  </cols>
  <sheetData>
    <row r="1" spans="1:8" ht="28.05" customHeight="1">
      <c r="A1" s="35" t="s">
        <v>253</v>
      </c>
      <c r="B1" s="36"/>
      <c r="C1" s="36"/>
      <c r="D1" s="36"/>
      <c r="E1" s="36"/>
      <c r="F1" s="36"/>
      <c r="G1" s="36"/>
      <c r="H1" s="36"/>
    </row>
    <row r="2" spans="1:8">
      <c r="A2" s="39" t="s">
        <v>254</v>
      </c>
      <c r="B2" s="36"/>
      <c r="C2" s="36"/>
      <c r="D2" s="36"/>
      <c r="E2" s="36"/>
      <c r="F2" s="36"/>
      <c r="G2" s="36"/>
      <c r="H2" s="36"/>
    </row>
    <row r="4" spans="1:8">
      <c r="A4" s="9" t="s">
        <v>13</v>
      </c>
      <c r="B4" s="9" t="s">
        <v>4</v>
      </c>
      <c r="C4" s="9" t="s">
        <v>15</v>
      </c>
      <c r="D4" s="9" t="s">
        <v>9</v>
      </c>
      <c r="E4" s="23" t="s">
        <v>3</v>
      </c>
    </row>
    <row r="5" spans="1:8">
      <c r="A5" s="1" t="s">
        <v>255</v>
      </c>
      <c r="B5" s="6">
        <f>COUNTIF(Orders_Clean!$V$5:$V$980,A5)</f>
        <v>101</v>
      </c>
      <c r="C5" s="12">
        <f>AVERAGEIF(Orders_Clean!$V$5:$V$980,A5,Orders_Clean!$C$5:$C$980)</f>
        <v>2.0693069306930694</v>
      </c>
      <c r="D5" s="28">
        <f>SUMIF(Orders_Clean!$V$5:$V$980,A5,Orders_Clean!$Q$5:$Q$980)</f>
        <v>130997.3836</v>
      </c>
      <c r="E5" s="33">
        <f>SUMIF(Orders_Clean!$V$5:$V$783,A5,Orders_Clean!$T$5:$T$783)</f>
        <v>50414.543600000019</v>
      </c>
    </row>
    <row r="6" spans="1:8">
      <c r="A6" s="1" t="s">
        <v>256</v>
      </c>
      <c r="B6" s="6">
        <f>COUNTIF(Orders_Clean!$V$5:$V$980,A6)</f>
        <v>137</v>
      </c>
      <c r="C6" s="12">
        <f>AVERAGEIF(Orders_Clean!$V$5:$V$980,A6,Orders_Clean!$C$5:$C$980)</f>
        <v>5.5985401459854014</v>
      </c>
      <c r="D6" s="28">
        <f>SUMIF(Orders_Clean!$V$5:$V$980,A6,Orders_Clean!$Q$5:$Q$980)</f>
        <v>90110.98030000001</v>
      </c>
      <c r="E6" s="33">
        <f>SUMIF(Orders_Clean!$V$5:$V$783,A6,Orders_Clean!$T$5:$T$783)</f>
        <v>42165.930299999993</v>
      </c>
    </row>
    <row r="7" spans="1:8">
      <c r="A7" s="1" t="s">
        <v>257</v>
      </c>
      <c r="B7" s="6">
        <f>COUNTIF(Orders_Clean!$V$5:$V$980,A7)</f>
        <v>247</v>
      </c>
      <c r="C7" s="12">
        <f>AVERAGEIF(Orders_Clean!$V$5:$V$980,A7,Orders_Clean!$C$5:$C$980)</f>
        <v>10.927125506072874</v>
      </c>
      <c r="D7" s="28">
        <f>SUMIF(Orders_Clean!$V$5:$V$980,A7,Orders_Clean!$Q$5:$Q$980)</f>
        <v>308364.37519999989</v>
      </c>
      <c r="E7" s="33">
        <f>SUMIF(Orders_Clean!$V$5:$V$783,A7,Orders_Clean!$T$5:$T$783)</f>
        <v>131348.65519999998</v>
      </c>
    </row>
    <row r="8" spans="1:8">
      <c r="A8" s="1" t="s">
        <v>258</v>
      </c>
      <c r="B8" s="6">
        <f>COUNTIF(Orders_Clean!$V$5:$V$980,A8)</f>
        <v>294</v>
      </c>
      <c r="C8" s="12">
        <f>AVERAGEIF(Orders_Clean!$V$5:$V$980,A8,Orders_Clean!$C$5:$C$980)</f>
        <v>18.663265306122447</v>
      </c>
      <c r="D8" s="28">
        <f>SUMIF(Orders_Clean!$V$5:$V$980,A8,Orders_Clean!$Q$5:$Q$980)</f>
        <v>416697.05919999984</v>
      </c>
      <c r="E8" s="33">
        <f>SUMIF(Orders_Clean!$V$5:$V$783,A8,Orders_Clean!$T$5:$T$783)</f>
        <v>180870.21919999999</v>
      </c>
    </row>
    <row r="30" ht="18.600000000000001" customHeight="1"/>
  </sheetData>
  <mergeCells count="2">
    <mergeCell ref="A2:H2"/>
    <mergeCell ref="A1:H1"/>
  </mergeCells>
  <conditionalFormatting sqref="E5:E8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{12128D28-4523-4E43-9586-CB9FB0A80D83}</x14:id>
        </ext>
      </extLst>
    </cfRule>
  </conditionalFormatting>
  <pageMargins left="0.75" right="0.75" top="1" bottom="1" header="0.5" footer="0.5"/>
  <pageSetup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128D28-4523-4E43-9586-CB9FB0A80D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E5:E8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showGridLines="0" workbookViewId="0">
      <selection activeCell="D7" sqref="D7"/>
    </sheetView>
  </sheetViews>
  <sheetFormatPr defaultRowHeight="14.4"/>
  <cols>
    <col min="1" max="1" width="28" customWidth="1"/>
    <col min="2" max="2" width="22" customWidth="1"/>
  </cols>
  <sheetData>
    <row r="1" spans="1:8" ht="28.05" customHeight="1">
      <c r="A1" s="35" t="s">
        <v>259</v>
      </c>
      <c r="B1" s="36"/>
      <c r="C1" s="36"/>
      <c r="D1" s="36"/>
      <c r="E1" s="36"/>
      <c r="F1" s="36"/>
      <c r="G1" s="36"/>
      <c r="H1" s="36"/>
    </row>
    <row r="2" spans="1:8">
      <c r="A2" s="39" t="s">
        <v>260</v>
      </c>
      <c r="B2" s="36"/>
      <c r="C2" s="36"/>
      <c r="D2" s="36"/>
      <c r="E2" s="36"/>
      <c r="F2" s="36"/>
      <c r="G2" s="36"/>
      <c r="H2" s="36"/>
    </row>
    <row r="5" spans="1:8" ht="15.6">
      <c r="A5" s="7" t="s">
        <v>2</v>
      </c>
      <c r="B5" s="32">
        <f>SUM(Orders_Clean!$Q$5:$Q$783)</f>
        <v>946169.79830000072</v>
      </c>
      <c r="D5" s="33"/>
    </row>
    <row r="6" spans="1:8" ht="15.6">
      <c r="A6" s="7" t="s">
        <v>261</v>
      </c>
      <c r="B6" s="14">
        <f>COUNTA(Orders_Clean!$A$5:$A$783)</f>
        <v>779</v>
      </c>
      <c r="D6" s="33"/>
    </row>
    <row r="7" spans="1:8" ht="15.6">
      <c r="A7" s="7" t="s">
        <v>5</v>
      </c>
      <c r="B7" s="14">
        <f>SUM(Orders_Clean!$N$5:$N$783)</f>
        <v>1002394.9599999994</v>
      </c>
      <c r="E7" s="27"/>
      <c r="F7" s="27"/>
      <c r="G7" s="27"/>
      <c r="H7" s="27"/>
    </row>
    <row r="8" spans="1:8" ht="15.6">
      <c r="A8" s="7" t="s">
        <v>54</v>
      </c>
      <c r="B8" s="32">
        <f>SUM(Orders_Clean!$S$5:$S$783)</f>
        <v>541370.44999999984</v>
      </c>
      <c r="E8" s="27"/>
      <c r="F8" s="27"/>
      <c r="G8" s="27"/>
      <c r="H8" s="27"/>
    </row>
    <row r="9" spans="1:8" ht="15.6">
      <c r="A9" s="7" t="s">
        <v>3</v>
      </c>
      <c r="B9" s="32">
        <f>SUM(Orders_Clean!$T$5:$T$783)</f>
        <v>404799.34830000036</v>
      </c>
      <c r="E9" s="27"/>
      <c r="F9" s="27"/>
      <c r="G9" s="27"/>
      <c r="H9" s="27"/>
    </row>
    <row r="10" spans="1:8" ht="15.6">
      <c r="A10" s="7" t="s">
        <v>262</v>
      </c>
      <c r="B10" s="15">
        <f>IF(B5=0,0,B9/B5)</f>
        <v>0.42782949638353518</v>
      </c>
      <c r="E10" s="27"/>
      <c r="F10" s="27"/>
      <c r="G10" s="27"/>
      <c r="H10" s="27"/>
    </row>
    <row r="11" spans="1:8" ht="15.6">
      <c r="A11" s="7" t="s">
        <v>263</v>
      </c>
      <c r="B11" s="13">
        <f>IF(B6=0,0,B5/B6)</f>
        <v>1214.595376508345</v>
      </c>
      <c r="E11" s="27"/>
      <c r="F11" s="27"/>
      <c r="G11" s="27"/>
      <c r="H11" s="27"/>
    </row>
    <row r="12" spans="1:8" ht="15.6">
      <c r="A12" s="7" t="s">
        <v>264</v>
      </c>
      <c r="B12" s="15">
        <f>AVERAGE(Orders_Clean!$P$5:$P$783)</f>
        <v>72.176074069319696</v>
      </c>
      <c r="E12" s="27"/>
      <c r="F12" s="27"/>
      <c r="G12" s="27"/>
      <c r="H12" s="27"/>
    </row>
    <row r="13" spans="1:8" ht="15.6">
      <c r="A13" s="7" t="s">
        <v>265</v>
      </c>
      <c r="B13" s="16">
        <f>AVERAGE(Orders_Clean!$C$5:$C$783)</f>
        <v>11.761232349165597</v>
      </c>
      <c r="E13" s="27"/>
      <c r="F13" s="27"/>
      <c r="G13" s="27"/>
      <c r="H13" s="27"/>
    </row>
    <row r="14" spans="1:8">
      <c r="E14" s="27"/>
      <c r="F14" s="27"/>
      <c r="G14" s="27"/>
      <c r="H14" s="27"/>
    </row>
  </sheetData>
  <mergeCells count="2">
    <mergeCell ref="A2:H2"/>
    <mergeCell ref="A1:H1"/>
  </mergeCells>
  <pageMargins left="0.75" right="0.75" top="1" bottom="1" header="0.5" footer="0.5"/>
  <pageSetup scale="86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8"/>
  <sheetViews>
    <sheetView showGridLines="0" workbookViewId="0">
      <selection activeCell="G8" sqref="G8"/>
    </sheetView>
  </sheetViews>
  <sheetFormatPr defaultRowHeight="14.4"/>
  <cols>
    <col min="1" max="1" width="6" customWidth="1"/>
    <col min="2" max="2" width="22" customWidth="1"/>
    <col min="3" max="3" width="85" customWidth="1"/>
    <col min="4" max="4" width="24" customWidth="1"/>
  </cols>
  <sheetData>
    <row r="1" spans="1:8" ht="28.05" customHeight="1">
      <c r="A1" s="35" t="s">
        <v>266</v>
      </c>
      <c r="B1" s="36"/>
      <c r="C1" s="36"/>
      <c r="D1" s="36"/>
      <c r="E1" s="36"/>
      <c r="F1" s="36"/>
      <c r="G1" s="36"/>
      <c r="H1" s="36"/>
    </row>
    <row r="2" spans="1:8">
      <c r="A2" s="39" t="s">
        <v>267</v>
      </c>
      <c r="B2" s="36"/>
      <c r="C2" s="36"/>
      <c r="D2" s="36"/>
      <c r="E2" s="36"/>
      <c r="F2" s="36"/>
      <c r="G2" s="36"/>
      <c r="H2" s="36"/>
    </row>
    <row r="4" spans="1:8">
      <c r="A4" s="9" t="s">
        <v>268</v>
      </c>
      <c r="B4" s="9" t="s">
        <v>269</v>
      </c>
      <c r="C4" s="9" t="s">
        <v>270</v>
      </c>
      <c r="D4" s="9" t="s">
        <v>271</v>
      </c>
    </row>
    <row r="5" spans="1:8" ht="34.950000000000003" customHeight="1">
      <c r="A5" s="8" t="s">
        <v>272</v>
      </c>
      <c r="B5" s="8" t="s">
        <v>273</v>
      </c>
      <c r="C5" s="8" t="s">
        <v>274</v>
      </c>
      <c r="D5" s="8" t="s">
        <v>275</v>
      </c>
    </row>
    <row r="6" spans="1:8" ht="34.950000000000003" customHeight="1">
      <c r="A6" s="8" t="s">
        <v>276</v>
      </c>
      <c r="B6" s="8" t="s">
        <v>277</v>
      </c>
      <c r="C6" s="8" t="s">
        <v>278</v>
      </c>
      <c r="D6" s="8" t="s">
        <v>279</v>
      </c>
    </row>
    <row r="7" spans="1:8" ht="34.950000000000003" customHeight="1">
      <c r="A7" s="8" t="s">
        <v>280</v>
      </c>
      <c r="B7" s="8" t="s">
        <v>281</v>
      </c>
      <c r="C7" s="8" t="s">
        <v>282</v>
      </c>
      <c r="D7" s="8" t="s">
        <v>283</v>
      </c>
    </row>
    <row r="8" spans="1:8" ht="34.950000000000003" customHeight="1">
      <c r="A8" s="8" t="s">
        <v>284</v>
      </c>
      <c r="B8" s="8" t="s">
        <v>285</v>
      </c>
      <c r="C8" s="8" t="s">
        <v>286</v>
      </c>
      <c r="D8" s="8" t="s">
        <v>287</v>
      </c>
    </row>
    <row r="9" spans="1:8" ht="34.950000000000003" customHeight="1">
      <c r="A9" s="8" t="s">
        <v>288</v>
      </c>
      <c r="B9" s="8" t="s">
        <v>289</v>
      </c>
      <c r="C9" s="8" t="s">
        <v>290</v>
      </c>
      <c r="D9" s="8" t="s">
        <v>291</v>
      </c>
    </row>
    <row r="10" spans="1:8" ht="34.950000000000003" customHeight="1">
      <c r="A10" s="8" t="s">
        <v>292</v>
      </c>
      <c r="B10" s="8" t="s">
        <v>293</v>
      </c>
      <c r="C10" s="8" t="s">
        <v>294</v>
      </c>
      <c r="D10" s="8" t="s">
        <v>295</v>
      </c>
    </row>
    <row r="11" spans="1:8" ht="34.950000000000003" customHeight="1">
      <c r="A11" s="8" t="s">
        <v>296</v>
      </c>
      <c r="B11" s="8" t="s">
        <v>297</v>
      </c>
      <c r="C11" s="8" t="s">
        <v>298</v>
      </c>
      <c r="D11" s="8" t="s">
        <v>299</v>
      </c>
    </row>
    <row r="12" spans="1:8" ht="34.950000000000003" customHeight="1">
      <c r="A12" s="8" t="s">
        <v>300</v>
      </c>
      <c r="B12" s="8" t="s">
        <v>301</v>
      </c>
      <c r="C12" s="8" t="s">
        <v>302</v>
      </c>
      <c r="D12" s="8" t="s">
        <v>303</v>
      </c>
    </row>
    <row r="13" spans="1:8" ht="34.950000000000003" customHeight="1">
      <c r="A13" s="8" t="s">
        <v>304</v>
      </c>
      <c r="B13" s="8" t="s">
        <v>305</v>
      </c>
      <c r="C13" s="8" t="s">
        <v>306</v>
      </c>
      <c r="D13" s="8" t="s">
        <v>307</v>
      </c>
    </row>
    <row r="14" spans="1:8" ht="34.950000000000003" customHeight="1">
      <c r="A14" s="8" t="s">
        <v>308</v>
      </c>
      <c r="B14" s="8" t="s">
        <v>309</v>
      </c>
      <c r="C14" s="8" t="s">
        <v>310</v>
      </c>
      <c r="D14" s="8" t="s">
        <v>311</v>
      </c>
    </row>
    <row r="15" spans="1:8" ht="34.950000000000003" customHeight="1">
      <c r="A15" s="8" t="s">
        <v>312</v>
      </c>
      <c r="B15" s="8" t="s">
        <v>313</v>
      </c>
      <c r="C15" s="8" t="s">
        <v>314</v>
      </c>
      <c r="D15" s="8" t="s">
        <v>309</v>
      </c>
    </row>
    <row r="16" spans="1:8" ht="34.950000000000003" customHeight="1">
      <c r="A16" s="8" t="s">
        <v>315</v>
      </c>
      <c r="B16" s="8" t="s">
        <v>316</v>
      </c>
      <c r="C16" s="8" t="s">
        <v>317</v>
      </c>
      <c r="D16" s="8" t="s">
        <v>318</v>
      </c>
    </row>
    <row r="17" spans="1:4" ht="34.950000000000003" customHeight="1">
      <c r="A17" s="8" t="s">
        <v>319</v>
      </c>
      <c r="B17" s="8" t="s">
        <v>320</v>
      </c>
      <c r="C17" s="8" t="s">
        <v>321</v>
      </c>
      <c r="D17" s="8" t="s">
        <v>322</v>
      </c>
    </row>
    <row r="18" spans="1:4" ht="34.950000000000003" customHeight="1">
      <c r="A18" s="8" t="s">
        <v>323</v>
      </c>
      <c r="B18" s="8" t="s">
        <v>324</v>
      </c>
      <c r="C18" s="8" t="s">
        <v>325</v>
      </c>
      <c r="D18" s="8" t="s">
        <v>326</v>
      </c>
    </row>
  </sheetData>
  <mergeCells count="2">
    <mergeCell ref="A2:H2"/>
    <mergeCell ref="A1:H1"/>
  </mergeCells>
  <pageMargins left="0.75" right="0.75" top="1" bottom="1" header="0.5" footer="0.5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1"/>
  <sheetViews>
    <sheetView showGridLines="0" topLeftCell="A2" workbookViewId="0">
      <selection activeCell="B10" sqref="B10"/>
    </sheetView>
  </sheetViews>
  <sheetFormatPr defaultRowHeight="14.4"/>
  <cols>
    <col min="1" max="1" width="27" customWidth="1"/>
    <col min="2" max="2" width="110" customWidth="1"/>
  </cols>
  <sheetData>
    <row r="1" spans="1:8" ht="28.05" customHeight="1">
      <c r="A1" s="35" t="s">
        <v>327</v>
      </c>
      <c r="B1" s="36"/>
      <c r="C1" s="36"/>
      <c r="D1" s="36"/>
      <c r="E1" s="36"/>
      <c r="F1" s="36"/>
      <c r="G1" s="36"/>
      <c r="H1" s="36"/>
    </row>
    <row r="2" spans="1:8">
      <c r="A2" s="39" t="s">
        <v>328</v>
      </c>
      <c r="B2" s="36"/>
      <c r="C2" s="36"/>
      <c r="D2" s="36"/>
      <c r="E2" s="36"/>
      <c r="F2" s="36"/>
      <c r="G2" s="36"/>
      <c r="H2" s="36"/>
    </row>
    <row r="4" spans="1:8" ht="45" customHeight="1">
      <c r="A4" s="7" t="s">
        <v>329</v>
      </c>
      <c r="B4" s="8" t="s">
        <v>23</v>
      </c>
    </row>
    <row r="5" spans="1:8" ht="45" customHeight="1">
      <c r="A5" s="7" t="s">
        <v>330</v>
      </c>
      <c r="B5" s="8" t="s">
        <v>331</v>
      </c>
    </row>
    <row r="6" spans="1:8" ht="45" customHeight="1">
      <c r="A6" s="7" t="s">
        <v>332</v>
      </c>
      <c r="B6" s="8" t="s">
        <v>333</v>
      </c>
    </row>
    <row r="7" spans="1:8" ht="45" customHeight="1">
      <c r="A7" s="7" t="s">
        <v>334</v>
      </c>
      <c r="B7" s="8" t="s">
        <v>335</v>
      </c>
    </row>
    <row r="8" spans="1:8" ht="45" customHeight="1">
      <c r="A8" s="7" t="s">
        <v>336</v>
      </c>
      <c r="B8" s="8" t="s">
        <v>337</v>
      </c>
    </row>
    <row r="9" spans="1:8" ht="45" customHeight="1">
      <c r="A9" s="7" t="s">
        <v>338</v>
      </c>
      <c r="B9" s="8" t="s">
        <v>339</v>
      </c>
    </row>
    <row r="10" spans="1:8" ht="45" customHeight="1">
      <c r="A10" s="7" t="s">
        <v>340</v>
      </c>
      <c r="B10" s="34" t="s">
        <v>387</v>
      </c>
    </row>
    <row r="11" spans="1:8" ht="45" customHeight="1">
      <c r="A11" s="7" t="s">
        <v>341</v>
      </c>
      <c r="B11" s="8" t="s">
        <v>342</v>
      </c>
    </row>
  </sheetData>
  <mergeCells count="2">
    <mergeCell ref="A2:H2"/>
    <mergeCell ref="A1:H1"/>
  </mergeCells>
  <pageMargins left="0.75" right="0.75" top="1" bottom="1" header="0.5" footer="0.5"/>
  <pageSetup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activeCell="A2" sqref="A2:D14"/>
    </sheetView>
  </sheetViews>
  <sheetFormatPr defaultRowHeight="14.4"/>
  <cols>
    <col min="1" max="1" width="9.44140625" customWidth="1"/>
    <col min="2" max="2" width="10.33203125" customWidth="1"/>
    <col min="4" max="4" width="13.5546875" customWidth="1"/>
  </cols>
  <sheetData>
    <row r="1" spans="1:4">
      <c r="A1" s="17" t="s">
        <v>343</v>
      </c>
      <c r="B1" s="17" t="s">
        <v>344</v>
      </c>
      <c r="C1" s="17" t="s">
        <v>345</v>
      </c>
      <c r="D1" s="17" t="s">
        <v>346</v>
      </c>
    </row>
    <row r="2" spans="1:4" ht="28.8">
      <c r="A2" s="18" t="s">
        <v>43</v>
      </c>
      <c r="B2" s="18" t="s">
        <v>350</v>
      </c>
      <c r="C2" s="18" t="s">
        <v>351</v>
      </c>
      <c r="D2" s="18" t="s">
        <v>352</v>
      </c>
    </row>
    <row r="3" spans="1:4" ht="43.2">
      <c r="A3" s="18" t="s">
        <v>8</v>
      </c>
      <c r="B3" s="18" t="s">
        <v>353</v>
      </c>
      <c r="C3" s="18" t="s">
        <v>354</v>
      </c>
      <c r="D3" s="18" t="s">
        <v>355</v>
      </c>
    </row>
    <row r="4" spans="1:4" ht="28.8">
      <c r="A4" s="18" t="s">
        <v>11</v>
      </c>
      <c r="B4" s="18" t="s">
        <v>356</v>
      </c>
      <c r="C4" s="18" t="s">
        <v>354</v>
      </c>
      <c r="D4" s="18" t="s">
        <v>357</v>
      </c>
    </row>
    <row r="5" spans="1:4" ht="28.8">
      <c r="A5" s="18" t="s">
        <v>12</v>
      </c>
      <c r="B5" s="18" t="s">
        <v>358</v>
      </c>
      <c r="C5" s="18" t="s">
        <v>354</v>
      </c>
      <c r="D5" s="18" t="s">
        <v>359</v>
      </c>
    </row>
    <row r="6" spans="1:4" ht="28.8">
      <c r="A6" s="18" t="s">
        <v>347</v>
      </c>
      <c r="B6" s="18" t="s">
        <v>360</v>
      </c>
      <c r="C6" s="18" t="s">
        <v>354</v>
      </c>
      <c r="D6" s="18" t="s">
        <v>361</v>
      </c>
    </row>
    <row r="7" spans="1:4" ht="28.8">
      <c r="A7" s="18" t="s">
        <v>348</v>
      </c>
      <c r="B7" s="18" t="s">
        <v>362</v>
      </c>
      <c r="C7" s="18" t="s">
        <v>354</v>
      </c>
      <c r="D7" s="18" t="s">
        <v>363</v>
      </c>
    </row>
    <row r="8" spans="1:4">
      <c r="A8" s="18" t="s">
        <v>349</v>
      </c>
      <c r="B8" s="18" t="s">
        <v>364</v>
      </c>
      <c r="C8" s="18" t="s">
        <v>365</v>
      </c>
      <c r="D8" s="18" t="s">
        <v>366</v>
      </c>
    </row>
    <row r="9" spans="1:4" ht="28.8">
      <c r="A9" s="18" t="s">
        <v>367</v>
      </c>
      <c r="B9" s="18" t="s">
        <v>368</v>
      </c>
      <c r="C9" s="18" t="s">
        <v>365</v>
      </c>
      <c r="D9" s="18" t="s">
        <v>301</v>
      </c>
    </row>
    <row r="10" spans="1:4" ht="28.8">
      <c r="A10" s="18" t="s">
        <v>48</v>
      </c>
      <c r="B10" s="18" t="s">
        <v>369</v>
      </c>
      <c r="C10" s="18" t="s">
        <v>365</v>
      </c>
      <c r="D10" s="18" t="s">
        <v>9</v>
      </c>
    </row>
    <row r="11" spans="1:4" ht="28.8">
      <c r="A11" s="18" t="s">
        <v>370</v>
      </c>
      <c r="B11" s="18" t="s">
        <v>371</v>
      </c>
      <c r="C11" s="18" t="s">
        <v>365</v>
      </c>
      <c r="D11" s="18" t="s">
        <v>372</v>
      </c>
    </row>
    <row r="12" spans="1:4" ht="28.8">
      <c r="A12" s="18" t="s">
        <v>9</v>
      </c>
      <c r="B12" s="18" t="s">
        <v>373</v>
      </c>
      <c r="C12" s="18" t="s">
        <v>365</v>
      </c>
      <c r="D12" s="18" t="s">
        <v>374</v>
      </c>
    </row>
    <row r="13" spans="1:4" ht="28.8">
      <c r="A13" s="18" t="s">
        <v>375</v>
      </c>
      <c r="B13" s="18" t="s">
        <v>376</v>
      </c>
      <c r="C13" s="18" t="s">
        <v>365</v>
      </c>
      <c r="D13" s="18" t="s">
        <v>301</v>
      </c>
    </row>
    <row r="14" spans="1:4" ht="28.8">
      <c r="A14" s="18" t="s">
        <v>377</v>
      </c>
      <c r="B14" s="18" t="s">
        <v>378</v>
      </c>
      <c r="C14" s="18" t="s">
        <v>365</v>
      </c>
      <c r="D14" s="18" t="s">
        <v>379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Dashboard</vt:lpstr>
      <vt:lpstr>README</vt:lpstr>
      <vt:lpstr>Orders_Clean</vt:lpstr>
      <vt:lpstr>Salesperson Analysis</vt:lpstr>
      <vt:lpstr>Customer Analysis</vt:lpstr>
      <vt:lpstr>State Analysis</vt:lpstr>
      <vt:lpstr>Category Analysis</vt:lpstr>
      <vt:lpstr>Monthly Analysis</vt:lpstr>
      <vt:lpstr>Delivery Analysis</vt:lpstr>
      <vt:lpstr>KPI Summary</vt:lpstr>
      <vt:lpstr>Practice Lab</vt:lpstr>
      <vt:lpstr>Portfolio Notes</vt:lpstr>
      <vt:lpstr>Data Dictionary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2026-09-15T05:15:41Z</cp:lastPrinted>
  <dcterms:created xsi:type="dcterms:W3CDTF">2026-09-09T08:12:02Z</dcterms:created>
  <dcterms:modified xsi:type="dcterms:W3CDTF">2026-09-16T11:36:17Z</dcterms:modified>
</cp:coreProperties>
</file>